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pc\Desktop\BAO CAO NGAY\"/>
    </mc:Choice>
  </mc:AlternateContent>
  <xr:revisionPtr revIDLastSave="0" documentId="13_ncr:1_{6608A619-82BF-469F-9AF8-8FF45E2838BD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NHAP LIEU" sheetId="1" r:id="rId1"/>
    <sheet name="BAO CAO IN" sheetId="2" r:id="rId2"/>
    <sheet name="HUONG DAN" sheetId="3" r:id="rId3"/>
  </sheets>
  <definedNames>
    <definedName name="_xlnm.Print_Area" localSheetId="1">'BAO CAO IN'!$A$2:$M$44</definedName>
    <definedName name="_xlnm.Print_Area" localSheetId="0">'NHAP LIEU'!$A$1:$J$50</definedName>
    <definedName name="_xlnm.Print_Titles" localSheetId="1">'BAO CAO IN'!$2:$9</definedName>
    <definedName name="_xlnm.Print_Titles" localSheetId="0">'NHAP LIEU'!$1:$5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48" i="2" l="1"/>
  <c r="A47" i="2"/>
  <c r="A46" i="2"/>
  <c r="A45" i="2"/>
  <c r="J35" i="2" l="1"/>
  <c r="D16" i="2" l="1"/>
  <c r="J39" i="2" l="1"/>
  <c r="J38" i="2"/>
  <c r="J37" i="2"/>
  <c r="J36" i="2"/>
  <c r="J32" i="2"/>
  <c r="J31" i="2"/>
  <c r="J30" i="2"/>
  <c r="J29" i="2"/>
  <c r="J28" i="2"/>
  <c r="J27" i="2"/>
  <c r="J26" i="2"/>
  <c r="J25" i="2"/>
  <c r="J24" i="2"/>
  <c r="A44" i="2" l="1"/>
  <c r="A43" i="2"/>
  <c r="A42" i="2"/>
  <c r="E39" i="2"/>
  <c r="C39" i="2"/>
  <c r="B39" i="2"/>
  <c r="E38" i="2"/>
  <c r="C38" i="2"/>
  <c r="B38" i="2"/>
  <c r="E37" i="2"/>
  <c r="C37" i="2"/>
  <c r="B37" i="2"/>
  <c r="E36" i="2"/>
  <c r="C36" i="2"/>
  <c r="B36" i="2"/>
  <c r="E35" i="2"/>
  <c r="C35" i="2"/>
  <c r="B35" i="2"/>
  <c r="E32" i="2"/>
  <c r="C32" i="2"/>
  <c r="B32" i="2"/>
  <c r="E31" i="2"/>
  <c r="C31" i="2"/>
  <c r="B31" i="2"/>
  <c r="E30" i="2"/>
  <c r="C30" i="2"/>
  <c r="B30" i="2"/>
  <c r="E29" i="2"/>
  <c r="C29" i="2"/>
  <c r="B29" i="2"/>
  <c r="E28" i="2"/>
  <c r="C28" i="2"/>
  <c r="B28" i="2"/>
  <c r="E27" i="2"/>
  <c r="C27" i="2"/>
  <c r="B27" i="2"/>
  <c r="E26" i="2"/>
  <c r="C26" i="2"/>
  <c r="B26" i="2"/>
  <c r="E25" i="2"/>
  <c r="C25" i="2"/>
  <c r="B25" i="2"/>
  <c r="E24" i="2"/>
  <c r="C24" i="2"/>
  <c r="B24" i="2"/>
  <c r="M20" i="2"/>
  <c r="L20" i="2"/>
  <c r="I20" i="2"/>
  <c r="H20" i="2"/>
  <c r="G20" i="2"/>
  <c r="E20" i="2"/>
  <c r="D20" i="2"/>
  <c r="C20" i="2"/>
  <c r="B20" i="2"/>
  <c r="M19" i="2"/>
  <c r="L19" i="2"/>
  <c r="I19" i="2"/>
  <c r="H19" i="2"/>
  <c r="G19" i="2"/>
  <c r="E19" i="2"/>
  <c r="D19" i="2"/>
  <c r="C19" i="2"/>
  <c r="B19" i="2"/>
  <c r="M18" i="2"/>
  <c r="L18" i="2"/>
  <c r="I18" i="2"/>
  <c r="H18" i="2"/>
  <c r="G18" i="2"/>
  <c r="E18" i="2"/>
  <c r="D18" i="2"/>
  <c r="C18" i="2"/>
  <c r="B18" i="2"/>
  <c r="M16" i="2"/>
  <c r="L16" i="2"/>
  <c r="I16" i="2"/>
  <c r="H16" i="2"/>
  <c r="G16" i="2"/>
  <c r="C16" i="2"/>
  <c r="B16" i="2"/>
  <c r="M15" i="2"/>
  <c r="L15" i="2"/>
  <c r="I15" i="2"/>
  <c r="H15" i="2"/>
  <c r="G15" i="2"/>
  <c r="E15" i="2"/>
  <c r="D15" i="2"/>
  <c r="C15" i="2"/>
  <c r="B15" i="2"/>
  <c r="M14" i="2"/>
  <c r="L14" i="2"/>
  <c r="I14" i="2"/>
  <c r="H14" i="2"/>
  <c r="G14" i="2"/>
  <c r="E14" i="2"/>
  <c r="D14" i="2"/>
  <c r="C14" i="2"/>
  <c r="B14" i="2"/>
  <c r="M13" i="2"/>
  <c r="L13" i="2"/>
  <c r="I13" i="2"/>
  <c r="H13" i="2"/>
  <c r="G13" i="2"/>
  <c r="E13" i="2"/>
  <c r="D13" i="2"/>
  <c r="C13" i="2"/>
  <c r="B13" i="2"/>
  <c r="A13" i="2"/>
  <c r="M12" i="2"/>
  <c r="L12" i="2"/>
  <c r="I12" i="2"/>
  <c r="H12" i="2"/>
  <c r="G12" i="2"/>
  <c r="D12" i="2"/>
  <c r="C12" i="2"/>
  <c r="B12" i="2"/>
  <c r="A12" i="2"/>
  <c r="M11" i="2"/>
  <c r="L11" i="2"/>
  <c r="I11" i="2"/>
  <c r="H11" i="2"/>
  <c r="G11" i="2"/>
  <c r="E11" i="2"/>
  <c r="D11" i="2"/>
  <c r="C11" i="2"/>
  <c r="B11" i="2"/>
  <c r="A11" i="2"/>
  <c r="B5" i="2"/>
  <c r="J2" i="2"/>
  <c r="J40" i="1"/>
  <c r="J34" i="2" s="1"/>
  <c r="J31" i="1"/>
  <c r="J23" i="2" s="1"/>
  <c r="I18" i="1"/>
  <c r="H18" i="1"/>
  <c r="G18" i="1"/>
  <c r="K17" i="1"/>
  <c r="K20" i="2" s="1"/>
  <c r="J17" i="1"/>
  <c r="J20" i="2" s="1"/>
  <c r="F17" i="1"/>
  <c r="F20" i="2" s="1"/>
  <c r="J16" i="1"/>
  <c r="J16" i="2" s="1"/>
  <c r="E16" i="1"/>
  <c r="F16" i="1" s="1"/>
  <c r="F16" i="2" s="1"/>
  <c r="J15" i="1"/>
  <c r="J19" i="2" s="1"/>
  <c r="F15" i="1"/>
  <c r="F19" i="2" s="1"/>
  <c r="J14" i="1"/>
  <c r="J15" i="2" s="1"/>
  <c r="F14" i="1"/>
  <c r="F15" i="2" s="1"/>
  <c r="J13" i="1"/>
  <c r="J14" i="2" s="1"/>
  <c r="F13" i="1"/>
  <c r="F14" i="2" s="1"/>
  <c r="K12" i="1"/>
  <c r="K18" i="2" s="1"/>
  <c r="J12" i="1"/>
  <c r="J18" i="2" s="1"/>
  <c r="F12" i="1"/>
  <c r="F18" i="2" s="1"/>
  <c r="J11" i="1"/>
  <c r="F11" i="1"/>
  <c r="F13" i="2" s="1"/>
  <c r="K10" i="1"/>
  <c r="K12" i="2" s="1"/>
  <c r="J10" i="1"/>
  <c r="J12" i="2" s="1"/>
  <c r="E10" i="1"/>
  <c r="E12" i="2" s="1"/>
  <c r="J9" i="1"/>
  <c r="J11" i="2" s="1"/>
  <c r="F9" i="1"/>
  <c r="F11" i="2" s="1"/>
  <c r="K15" i="1" l="1"/>
  <c r="K19" i="2" s="1"/>
  <c r="K14" i="1"/>
  <c r="K15" i="2" s="1"/>
  <c r="H21" i="2"/>
  <c r="F5" i="2" s="1"/>
  <c r="I21" i="2"/>
  <c r="H5" i="2" s="1"/>
  <c r="K9" i="1"/>
  <c r="K11" i="2" s="1"/>
  <c r="K11" i="1"/>
  <c r="K13" i="2" s="1"/>
  <c r="J18" i="1"/>
  <c r="K16" i="1"/>
  <c r="K16" i="2" s="1"/>
  <c r="K13" i="1"/>
  <c r="K14" i="2" s="1"/>
  <c r="G21" i="2"/>
  <c r="J13" i="2"/>
  <c r="E16" i="2"/>
  <c r="F10" i="1"/>
  <c r="F12" i="2" s="1"/>
  <c r="F21" i="2" s="1"/>
  <c r="J21" i="2" l="1"/>
  <c r="F18" i="1"/>
</calcChain>
</file>

<file path=xl/sharedStrings.xml><?xml version="1.0" encoding="utf-8"?>
<sst xmlns="http://schemas.openxmlformats.org/spreadsheetml/2006/main" count="163" uniqueCount="145">
  <si>
    <t>CONG TY TNHH TNE&amp;C  -  HE THONG BAO CAO NGAY</t>
  </si>
  <si>
    <t>NHAP LIEU HANG NGAY</t>
  </si>
  <si>
    <t>Kinh gui: BAN GIAM DOC  |  Nguoi lap: Lê Quỳnh Ngân___________  |  Bo phan xac nhan: _________________________</t>
  </si>
  <si>
    <t>NGAY BAO CAO:</t>
  </si>
  <si>
    <t>&lt;-- Thay o D5 moi sang  |  Vang=Nhap tay  |  Xanh=Tu tinh cong thuc</t>
  </si>
  <si>
    <t>I.  TINH HINH TIEN DO THI CONG CAC DU AN</t>
  </si>
  <si>
    <t>STT</t>
  </si>
  <si>
    <t>TEN DU AN</t>
  </si>
  <si>
    <t>KH
(%)</t>
  </si>
  <si>
    <t>LK HOM QUA
(%)</t>
  </si>
  <si>
    <t>HOM NAY
(%)</t>
  </si>
  <si>
    <t>LK HOM NAY
(D+E, tu tinh)</t>
  </si>
  <si>
    <t>GT HD
(ty dong)</t>
  </si>
  <si>
    <t>GT SAN LUONG
(ty dong)</t>
  </si>
  <si>
    <t>GT NGHIEM THU
(ty dong)</t>
  </si>
  <si>
    <t>% SL/HD</t>
  </si>
  <si>
    <t>CANH BAO</t>
  </si>
  <si>
    <t>CONG VIEC TRONG NGAY</t>
  </si>
  <si>
    <t>VUONG MAC / DANH GIA</t>
  </si>
  <si>
    <t>XLNT TAY NINH</t>
  </si>
  <si>
    <t>RACH XUYEN TAM</t>
  </si>
  <si>
    <t>HUONG LO 11</t>
  </si>
  <si>
    <t>KCN CA NA</t>
  </si>
  <si>
    <t>DMT TRA VINH 2</t>
  </si>
  <si>
    <t>TINH LO 8</t>
  </si>
  <si>
    <t>—</t>
  </si>
  <si>
    <t>CAU MA DA</t>
  </si>
  <si>
    <t>- Dự kiến đầu tháng 4 sẽ khoan cọc nhồi.
- Kế hoạch ký PLHĐ điều chỉnh 23/04/2026</t>
  </si>
  <si>
    <t>Đang chờ CĐT  làm việc TK để ra bản vẽ cọc</t>
  </si>
  <si>
    <t>KDC THUONG PHUOC</t>
  </si>
  <si>
    <t>- Gia công thép hố ga;
- Gia công lắp dựng ván khuôn hố ga;
- Sửa máy taluy đê vây;
- Đổ bê tông hố ga.</t>
  </si>
  <si>
    <t>CONG VAM LEO</t>
  </si>
  <si>
    <t>TONG / BINH QUAN</t>
  </si>
  <si>
    <t>II.  CHI TIEN TRONG NGAY</t>
  </si>
  <si>
    <t>DU AN</t>
  </si>
  <si>
    <t>DON VI NHAN</t>
  </si>
  <si>
    <t>NOI DUNG CHI</t>
  </si>
  <si>
    <t>SO TIEN (dong)</t>
  </si>
  <si>
    <t>TONG CHI TRONG NGAY</t>
  </si>
  <si>
    <t>III.  THU TIEN TRONG NGAY</t>
  </si>
  <si>
    <t>NGUON THU</t>
  </si>
  <si>
    <t>NOI DUNG THU</t>
  </si>
  <si>
    <t>TONG THU TRONG NGAY</t>
  </si>
  <si>
    <t>IV.  GHI CHU / HO SO DA KY / KIEN NGHI GIAM DOC</t>
  </si>
  <si>
    <t>Nguoi lap bao cao
(Ky va ghi ro ho ten)</t>
  </si>
  <si>
    <t>Truong bo phan xac nhan
(Ky va ghi ro ho ten)</t>
  </si>
  <si>
    <t>GIAM DOC PHE DUYET
(Ky va ghi ro ho ten)</t>
  </si>
  <si>
    <t>TRUNGNAM E&amp;C</t>
  </si>
  <si>
    <t>BÁO CÁO NGÀY  -  Kính gửi: Giám đốc</t>
  </si>
  <si>
    <t>Chưa khởi công</t>
  </si>
  <si>
    <t>Khởi công</t>
  </si>
  <si>
    <t>Giá trị SL</t>
  </si>
  <si>
    <t>I.  TINH HINH TIEN DO THI CONG</t>
  </si>
  <si>
    <t>TÊN DỰ ÁN</t>
  </si>
  <si>
    <t>GT HĐ
(ty)</t>
  </si>
  <si>
    <t>% SL/HĐ</t>
  </si>
  <si>
    <t>CẢNH BÁO</t>
  </si>
  <si>
    <t>CÔNG VIỆC TRONG NGÀY</t>
  </si>
  <si>
    <t>VƯỚNG MẮC</t>
  </si>
  <si>
    <t>A</t>
  </si>
  <si>
    <t>ĐÃ KHỞI CÔNG</t>
  </si>
  <si>
    <t>B</t>
  </si>
  <si>
    <t>CHƯA KHỞI CÔNG</t>
  </si>
  <si>
    <t>HUONG DAN SU DUNG  -  BAO CAO NGAY TNE&amp;C</t>
  </si>
  <si>
    <t>&gt;&gt;&gt; QUY UOC MAU SAC</t>
  </si>
  <si>
    <t>Vang (FFFF99)</t>
  </si>
  <si>
    <t>O nhap tay - bat buoc dien moi ngay</t>
  </si>
  <si>
    <t>Xanh nhat (DBEAFE)</t>
  </si>
  <si>
    <t>O cong thuc tu tinh - KHONG sua</t>
  </si>
  <si>
    <t>Xanh chu (0000FF)</t>
  </si>
  <si>
    <t>So hardcode san co the thay doi</t>
  </si>
  <si>
    <t>&gt;&gt;&gt; QUY TRINH HANG NGAY</t>
  </si>
  <si>
    <t>Buoc 1</t>
  </si>
  <si>
    <t>Mo sheet NHAP LIEU</t>
  </si>
  <si>
    <t>Buoc 2</t>
  </si>
  <si>
    <t>Sua o D5 = ngay hom nay (DD/MM/YYYY)</t>
  </si>
  <si>
    <t>Buoc 3</t>
  </si>
  <si>
    <t>Dien % Hom nay cot E tung du an (cot F tu tinh)</t>
  </si>
  <si>
    <t>Buoc 4</t>
  </si>
  <si>
    <t>Nhap Cong viec trong ngay (cot I)</t>
  </si>
  <si>
    <t>Buoc 5</t>
  </si>
  <si>
    <t>Chon Vuong mac tu dropdown (cot J)</t>
  </si>
  <si>
    <t>Buoc 6</t>
  </si>
  <si>
    <t>Cap nhat Gia tri TH / NT neu co nghiem thu moi</t>
  </si>
  <si>
    <t>Buoc 7</t>
  </si>
  <si>
    <t>Kiem tra / chinh sua bang CHI TIEN</t>
  </si>
  <si>
    <t>Buoc 8</t>
  </si>
  <si>
    <t>Dien bang THU TIEN neu co phat sinh</t>
  </si>
  <si>
    <t>Buoc 9</t>
  </si>
  <si>
    <t>Ghi chu / kien nghi Giam doc (Section IV)</t>
  </si>
  <si>
    <t>Buoc 10</t>
  </si>
  <si>
    <t>Chuyen sang sheet BAO CAO IN -&gt; xem truoc -&gt; in/xuat PDF</t>
  </si>
  <si>
    <t>&gt;&gt;&gt; XUAT PDF</t>
  </si>
  <si>
    <t>Excel</t>
  </si>
  <si>
    <t>File -&gt; Export -&gt; Create PDF/XPS</t>
  </si>
  <si>
    <t>LibreOffice</t>
  </si>
  <si>
    <t>File -&gt; Export as PDF -&gt; OK</t>
  </si>
  <si>
    <t>Ten file goi y</t>
  </si>
  <si>
    <t>TNEC_YYYY_MM_DD_Bao_cao_ngay.xlsx</t>
  </si>
  <si>
    <t>&gt;&gt;&gt; LUU Y QUAN TRONG</t>
  </si>
  <si>
    <t>KHONG XOA HANG/COT</t>
  </si>
  <si>
    <t>Se pha vo cong thuc tham chieu giua 2 sheet</t>
  </si>
  <si>
    <t>Them khoan chi</t>
  </si>
  <si>
    <t>Insert row giua cac hang trong vung CHI TIEN</t>
  </si>
  <si>
    <t>Them du an</t>
  </si>
  <si>
    <t>Sao chep hang du an -&gt; dan xuong -&gt; cap nhat thong tin</t>
  </si>
  <si>
    <t>Giá trị nghiệm thu</t>
  </si>
  <si>
    <t xml:space="preserve">GT SẢN LƯỢNG
</t>
  </si>
  <si>
    <t xml:space="preserve">GT NGHIỆM THU
</t>
  </si>
  <si>
    <t>- Rà bóc khối lượng thép</t>
  </si>
  <si>
    <t>LK Tiến độ hôm qua
(%)</t>
  </si>
  <si>
    <t>Tiến độ hôm nay
(%)</t>
  </si>
  <si>
    <t>LK Tiến độ đến hôm nay
(%)</t>
  </si>
  <si>
    <t xml:space="preserve">- Công tác pháp lý chuẩn bị đầu vào dự án.
</t>
  </si>
  <si>
    <t>Dự kiến 20/4 khởi công</t>
  </si>
  <si>
    <t>* KL Công ty Đại Nam
- Đổ bê tông hố ga hộp đấu nối hộ dân và hộp chuyển hướng (05 cấu kiện), KL Đại Nam 5/170/920
- Thảm BTN đường Hoàng Lê Kha lớp 2, bảo dưỡng BTN.
* KL Công ty Toàn Thắng
- Đổ bê tông thân hố ga TO chính (02 cấu kiện), KL Toàn Thắng 2/206/222
- Đổ bê tông cổ hố ga TO chính (02 cấu kiện), KL Toàn Thắng 2/166/222, lắp đặt nắp gang 2/147/222
- Vận chuyển, lắp dựng hố ga TO chính trên tuyến, KL Toàn Thắng 3/171/222
- Đổ bê tông hố ga hộp đấu nối hộ dân và hộp chuyển hướng (05 cấu kiện), KL Toàn Thắng 5/265/2224
- Lắp đặt ống HDPE trên tuyến, KL Toàn Thắng OD355 120/3448/5252, OD450 0/289/367 (M)
- Thi công tuyến ống cấp 3, lắp đặt ống uPVC 160 KL 80/830/14647 (M)</t>
  </si>
  <si>
    <t xml:space="preserve">- Tiến độ thực hiện dự án hơn 40% Tiến độ tổng thể.
=&gt; Đề xuất BGĐ đôn đôc phía Cty Phước Vạn Thịnh. </t>
  </si>
  <si>
    <t>- Gia công cốt thép;
- Đỗ bê tông cọc 220x220x3900mm sản lượng 152/9.661/12.792                                                                   
+ Sản lượng nhà thầu Yên Phúc đã đúc 50/1.109 cọc                                                                                       + Sản lượng nhà thầu Xuân Sơn Hải Dương đã đúc: 42/40 cọc                                                          
- Bơm cát san lắp mặt bằng sản lượng: 250m3/2850m3                                                                         
- Vận chuyển cọc từ bãi gia công vào nhà máy ( Nhà Thầu Yên Phúc )                                             + Sản lượng vận chuyển 120/380 cọc                                                                                                                                 - San mặt bằng nền bãi chứa pin</t>
  </si>
  <si>
    <t>1. Tờ trình Điều chỉnh giá phần thi công, điều chỉnh giá phần bơm cát dự án ĐMT Trà Vinh 2</t>
  </si>
  <si>
    <t>2. Thanh toán chi phí Mr Duy Hưng đi công tác Hà Nội dự án Chống hạn</t>
  </si>
  <si>
    <t xml:space="preserve">3. Ký hoàn hồ sơ thanh toán chi phí tiếp khách dự án Rạch Xuyên Tâm </t>
  </si>
  <si>
    <t>4. Yêu cầu cấp Laptop Ms Phú phòng KHDA</t>
  </si>
  <si>
    <t>5. Giấy UQ Mr Thái, Mr Dũng đi họp dự án Tỉnh Lộ 8</t>
  </si>
  <si>
    <t>Chung</t>
  </si>
  <si>
    <t>Ms Như</t>
  </si>
  <si>
    <t>Thanh toán chi phí lưu trú công tác Mr Phát GĐ CN Miền Trung</t>
  </si>
  <si>
    <t>BHXH</t>
  </si>
  <si>
    <t>Thanh toán chi phí bảo hiểm tháng 2/2026</t>
  </si>
  <si>
    <t>XLNT Tây Ninh</t>
  </si>
  <si>
    <t>Cty Đại Nam</t>
  </si>
  <si>
    <t>Tạm ứng HĐ giao khoán thi công</t>
  </si>
  <si>
    <t>Cty Enviro world</t>
  </si>
  <si>
    <t>Tạm ứng HĐ mua bán vật tư</t>
  </si>
  <si>
    <t>Ms Quỳnh</t>
  </si>
  <si>
    <t>Tạm ứng chi phí văn phòng 4/2026</t>
  </si>
  <si>
    <t>Chống hạn</t>
  </si>
  <si>
    <t>Mr Duy Hưng</t>
  </si>
  <si>
    <t>Thanh toán chi phí công tác</t>
  </si>
  <si>
    <t>Cty SAIGONCARS</t>
  </si>
  <si>
    <t>Thanh toán chi phí thuê xe và cọc xe</t>
  </si>
  <si>
    <t>1. Chưa có pháp lý
2. P.KHDA chưa trình BGĐ giá thầu phụ chào bãi chứa pin.</t>
  </si>
  <si>
    <t>1. Vướng mặt bằng
2. P.KHDA chưa trình BGĐ giá thi công văn phòng BĐH</t>
  </si>
  <si>
    <t>Vướng mặt bằng</t>
  </si>
  <si>
    <t>Chưa bàn giao MB</t>
  </si>
  <si>
    <t xml:space="preserve">- Dự kiến 01/04/2026 Họp CĐT,TVGS, Nhà thầu về tiến độ và khó khăn thi công dự án.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</si>
</sst>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m/d/yyyy"/>
    <numFmt numFmtId="165" formatCode="0\%"/>
    <numFmt numFmtId="166" formatCode="#,##0.000"/>
    <numFmt numFmtId="167" formatCode="#,##0.000&quot; ty&quot;"/>
    <numFmt numFmtId="168" formatCode="0.0%"/>
    <numFmt numFmtId="169" formatCode="#,##0&quot; dong&quot;"/>
    <numFmt numFmtId="170" formatCode="0.000%"/>
  </numFmts>
  <fonts count="45" x14ac:knownFonts="1">
    <font>
      <sz val="11"/>
      <color theme="1"/>
      <name val="Calibri"/>
      <family val="2"/>
      <charset val="1"/>
    </font>
    <font>
      <sz val="11"/>
      <name val="Cambria"/>
      <charset val="1"/>
    </font>
    <font>
      <b/>
      <sz val="13"/>
      <color rgb="FFFFFFFF"/>
      <name val="Arial"/>
      <family val="2"/>
      <charset val="1"/>
    </font>
    <font>
      <i/>
      <sz val="9"/>
      <color rgb="FF1E3A5F"/>
      <name val="Arial"/>
      <family val="2"/>
      <charset val="1"/>
    </font>
    <font>
      <b/>
      <sz val="10"/>
      <color rgb="FF1E3A5F"/>
      <name val="Arial"/>
      <family val="2"/>
      <charset val="1"/>
    </font>
    <font>
      <b/>
      <sz val="13"/>
      <color rgb="FF0000FF"/>
      <name val="Arial"/>
      <family val="2"/>
      <charset val="1"/>
    </font>
    <font>
      <i/>
      <sz val="8"/>
      <color rgb="FF795548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9"/>
      <color rgb="FFFFFFFF"/>
      <name val="Arial"/>
      <family val="2"/>
      <charset val="1"/>
    </font>
    <font>
      <b/>
      <sz val="9"/>
      <color rgb="FFFFFFFF"/>
      <name val="Arial"/>
      <charset val="1"/>
    </font>
    <font>
      <b/>
      <sz val="9"/>
      <color rgb="FF1E3A5F"/>
      <name val="Arial"/>
      <family val="2"/>
      <charset val="1"/>
    </font>
    <font>
      <sz val="9"/>
      <color rgb="FF0000FF"/>
      <name val="Arial"/>
      <family val="2"/>
      <charset val="1"/>
    </font>
    <font>
      <sz val="9"/>
      <color rgb="FF0000FF"/>
      <name val="Arial"/>
      <charset val="1"/>
    </font>
    <font>
      <b/>
      <sz val="9"/>
      <color rgb="FF1E3A5F"/>
      <name val="Arial"/>
      <charset val="1"/>
    </font>
    <font>
      <b/>
      <sz val="8"/>
      <color rgb="FF1E3A5F"/>
      <name val="Arial"/>
      <charset val="1"/>
    </font>
    <font>
      <sz val="8"/>
      <color rgb="FF374151"/>
      <name val="Arial"/>
      <family val="2"/>
      <charset val="1"/>
    </font>
    <font>
      <b/>
      <sz val="9"/>
      <color rgb="FF374151"/>
      <name val="Arial"/>
      <family val="2"/>
      <charset val="1"/>
    </font>
    <font>
      <b/>
      <sz val="10"/>
      <color rgb="FFFCD34D"/>
      <name val="Arial"/>
      <family val="2"/>
      <charset val="1"/>
    </font>
    <font>
      <sz val="9"/>
      <color rgb="FF000000"/>
      <name val="Arial"/>
      <family val="2"/>
      <charset val="1"/>
    </font>
    <font>
      <b/>
      <sz val="9"/>
      <color rgb="FF9B1C1C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2"/>
      <color rgb="FFFCA5A5"/>
      <name val="Arial"/>
      <family val="2"/>
      <charset val="1"/>
    </font>
    <font>
      <b/>
      <sz val="9"/>
      <color rgb="FF166534"/>
      <name val="Arial"/>
      <family val="2"/>
      <charset val="1"/>
    </font>
    <font>
      <b/>
      <sz val="12"/>
      <color rgb="FF86EFAC"/>
      <name val="Arial"/>
      <family val="2"/>
      <charset val="1"/>
    </font>
    <font>
      <sz val="9"/>
      <color rgb="FF374151"/>
      <name val="Arial"/>
      <family val="2"/>
      <charset val="1"/>
    </font>
    <font>
      <sz val="9"/>
      <color rgb="FF1E3A5F"/>
      <name val="Arial"/>
      <family val="2"/>
      <charset val="1"/>
    </font>
    <font>
      <b/>
      <sz val="18"/>
      <color rgb="FFFFFFFF"/>
      <name val="Arial"/>
      <family val="2"/>
      <charset val="1"/>
    </font>
    <font>
      <b/>
      <sz val="13"/>
      <color rgb="FF1E3A5F"/>
      <name val="Arial"/>
      <family val="2"/>
      <charset val="1"/>
    </font>
    <font>
      <b/>
      <sz val="11"/>
      <color rgb="FF0EA5E9"/>
      <name val="Arial"/>
      <family val="2"/>
      <charset val="1"/>
    </font>
    <font>
      <b/>
      <sz val="11"/>
      <color rgb="FF00B050"/>
      <name val="Arial"/>
      <family val="2"/>
      <charset val="1"/>
    </font>
    <font>
      <b/>
      <sz val="11"/>
      <color rgb="FFEF4444"/>
      <name val="Arial"/>
      <family val="2"/>
      <charset val="1"/>
    </font>
    <font>
      <sz val="11"/>
      <color rgb="FF00B050"/>
      <name val="Calibri"/>
      <family val="2"/>
      <charset val="1"/>
    </font>
    <font>
      <b/>
      <sz val="9"/>
      <name val="Arial"/>
      <family val="2"/>
      <charset val="1"/>
    </font>
    <font>
      <b/>
      <sz val="11"/>
      <color rgb="FF1E3A5F"/>
      <name val="Arial"/>
      <family val="2"/>
      <charset val="1"/>
    </font>
    <font>
      <sz val="9"/>
      <color rgb="FF1E3A5F"/>
      <name val="Arial"/>
      <charset val="1"/>
    </font>
    <font>
      <b/>
      <sz val="9"/>
      <color rgb="FF000000"/>
      <name val="Arial"/>
      <family val="2"/>
      <charset val="1"/>
    </font>
    <font>
      <b/>
      <sz val="9"/>
      <color theme="9" tint="-0.499984740745262"/>
      <name val="Arial"/>
      <family val="2"/>
      <charset val="1"/>
    </font>
    <font>
      <b/>
      <sz val="9"/>
      <color rgb="FFDC2626"/>
      <name val="Arial"/>
      <family val="2"/>
      <charset val="1"/>
    </font>
    <font>
      <b/>
      <sz val="9"/>
      <color rgb="FF16A34A"/>
      <name val="Arial"/>
      <family val="2"/>
      <charset val="1"/>
    </font>
    <font>
      <b/>
      <sz val="14"/>
      <color rgb="FFFFFFFF"/>
      <name val="Arial"/>
      <family val="2"/>
      <charset val="1"/>
    </font>
    <font>
      <b/>
      <sz val="11"/>
      <color theme="5" tint="-0.249977111117893"/>
      <name val="Arial"/>
      <family val="2"/>
      <charset val="1"/>
    </font>
    <font>
      <b/>
      <sz val="20"/>
      <name val="Cambria"/>
      <family val="1"/>
    </font>
    <font>
      <b/>
      <sz val="9"/>
      <color rgb="FFFFFFFF"/>
      <name val="Arial"/>
      <family val="2"/>
    </font>
    <font>
      <b/>
      <sz val="9"/>
      <color theme="0"/>
      <name val="Arial"/>
      <family val="2"/>
    </font>
    <font>
      <sz val="11"/>
      <color theme="1"/>
      <name val="Calibri"/>
      <family val="2"/>
      <charset val="1"/>
    </font>
  </fonts>
  <fills count="28">
    <fill>
      <patternFill patternType="none"/>
    </fill>
    <fill>
      <patternFill patternType="gray125"/>
    </fill>
    <fill>
      <patternFill patternType="solid">
        <fgColor rgb="FF1E3A5F"/>
        <bgColor rgb="FF374151"/>
      </patternFill>
    </fill>
    <fill>
      <patternFill patternType="solid">
        <fgColor rgb="FFEBF4FF"/>
        <bgColor rgb="FFEFF6FF"/>
      </patternFill>
    </fill>
    <fill>
      <patternFill patternType="solid">
        <fgColor rgb="FFFFF8E1"/>
        <bgColor rgb="FFFFF3CD"/>
      </patternFill>
    </fill>
    <fill>
      <patternFill patternType="solid">
        <fgColor rgb="FFFFFF99"/>
        <bgColor rgb="FFFEF3C7"/>
      </patternFill>
    </fill>
    <fill>
      <patternFill patternType="solid">
        <fgColor rgb="FF2D5282"/>
        <bgColor rgb="FF374151"/>
      </patternFill>
    </fill>
    <fill>
      <patternFill patternType="solid">
        <fgColor rgb="FFFFFFFF"/>
        <bgColor rgb="FFF8FAFC"/>
      </patternFill>
    </fill>
    <fill>
      <patternFill patternType="solid">
        <fgColor rgb="FFEFF6FF"/>
        <bgColor rgb="FFEBF4FF"/>
      </patternFill>
    </fill>
    <fill>
      <patternFill patternType="solid">
        <fgColor rgb="FFDBEAFE"/>
        <bgColor rgb="FFE0F2FE"/>
      </patternFill>
    </fill>
    <fill>
      <patternFill patternType="solid">
        <fgColor rgb="FFF5F5F5"/>
        <bgColor rgb="FFEFF6FF"/>
      </patternFill>
    </fill>
    <fill>
      <patternFill patternType="solid">
        <fgColor rgb="FF7F1D1D"/>
        <bgColor rgb="FF9B1C1C"/>
      </patternFill>
    </fill>
    <fill>
      <patternFill patternType="solid">
        <fgColor rgb="FF9B1C1C"/>
        <bgColor rgb="FF7F1D1D"/>
      </patternFill>
    </fill>
    <fill>
      <patternFill patternType="solid">
        <fgColor rgb="FF14532D"/>
        <bgColor rgb="FF155724"/>
      </patternFill>
    </fill>
    <fill>
      <patternFill patternType="solid">
        <fgColor rgb="FF166534"/>
        <bgColor rgb="FF155724"/>
      </patternFill>
    </fill>
    <fill>
      <patternFill patternType="solid">
        <fgColor rgb="FF78350F"/>
        <bgColor rgb="FF92400E"/>
      </patternFill>
    </fill>
    <fill>
      <patternFill patternType="solid">
        <fgColor rgb="FFE0F2FE"/>
        <bgColor rgb="FFEBF4FF"/>
      </patternFill>
    </fill>
    <fill>
      <patternFill patternType="solid">
        <fgColor theme="6" tint="0.39988402966399123"/>
        <bgColor rgb="FFD0D0D0"/>
      </patternFill>
    </fill>
    <fill>
      <patternFill patternType="solid">
        <fgColor rgb="FFFEE2E2"/>
        <bgColor rgb="FFFFD5D5"/>
      </patternFill>
    </fill>
    <fill>
      <patternFill patternType="solid">
        <fgColor rgb="FFDCFCE7"/>
        <bgColor rgb="FFE0F2FE"/>
      </patternFill>
    </fill>
    <fill>
      <patternFill patternType="solid">
        <fgColor rgb="FFFEF3C7"/>
        <bgColor rgb="FFFFF3CD"/>
      </patternFill>
    </fill>
    <fill>
      <patternFill patternType="solid">
        <fgColor rgb="FFF8FAFC"/>
        <bgColor rgb="FFF5F5F5"/>
      </patternFill>
    </fill>
    <fill>
      <patternFill patternType="solid">
        <fgColor theme="9" tint="0.39997558519241921"/>
        <bgColor rgb="FFFFD5D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rgb="FFE0F2FE"/>
      </patternFill>
    </fill>
    <fill>
      <patternFill patternType="solid">
        <fgColor theme="3" tint="-0.249977111117893"/>
        <bgColor rgb="FF374151"/>
      </patternFill>
    </fill>
    <fill>
      <patternFill patternType="solid">
        <fgColor theme="9" tint="0.59999389629810485"/>
        <bgColor rgb="FFFFD5D5"/>
      </patternFill>
    </fill>
    <fill>
      <patternFill patternType="solid">
        <fgColor theme="9" tint="0.59999389629810485"/>
        <bgColor rgb="FFDBEAFE"/>
      </patternFill>
    </fill>
  </fills>
  <borders count="14">
    <border>
      <left/>
      <right/>
      <top/>
      <bottom/>
      <diagonal/>
    </border>
    <border>
      <left style="thin">
        <color rgb="FF2D5282"/>
      </left>
      <right style="thin">
        <color rgb="FF2D5282"/>
      </right>
      <top style="thin">
        <color rgb="FF2D5282"/>
      </top>
      <bottom style="thin">
        <color rgb="FF2D5282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medium">
        <color rgb="FF1E3A5F"/>
      </left>
      <right style="medium">
        <color rgb="FF1E3A5F"/>
      </right>
      <top style="medium">
        <color rgb="FF1E3A5F"/>
      </top>
      <bottom style="medium">
        <color rgb="FF1E3A5F"/>
      </bottom>
      <diagonal/>
    </border>
    <border>
      <left style="thin">
        <color rgb="FF9B1C1C"/>
      </left>
      <right style="thin">
        <color rgb="FF9B1C1C"/>
      </right>
      <top style="thin">
        <color rgb="FF9B1C1C"/>
      </top>
      <bottom style="thin">
        <color rgb="FF9B1C1C"/>
      </bottom>
      <diagonal/>
    </border>
    <border>
      <left style="thin">
        <color rgb="FF166534"/>
      </left>
      <right style="thin">
        <color rgb="FF166534"/>
      </right>
      <top style="thin">
        <color rgb="FF166534"/>
      </top>
      <bottom style="thin">
        <color rgb="FF166534"/>
      </bottom>
      <diagonal/>
    </border>
    <border>
      <left style="thin">
        <color rgb="FF0EA5E9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3">
    <xf numFmtId="0" fontId="0" fillId="0" borderId="0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</cellStyleXfs>
  <cellXfs count="136">
    <xf numFmtId="0" fontId="0" fillId="0" borderId="0" xfId="0"/>
    <xf numFmtId="0" fontId="18" fillId="5" borderId="2" xfId="0" applyFont="1" applyFill="1" applyBorder="1" applyAlignment="1">
      <alignment horizontal="left" vertical="center" indent="1"/>
    </xf>
    <xf numFmtId="0" fontId="8" fillId="12" borderId="5" xfId="0" applyFont="1" applyFill="1" applyBorder="1" applyAlignment="1">
      <alignment horizontal="center" vertical="center" wrapText="1"/>
    </xf>
    <xf numFmtId="0" fontId="1" fillId="0" borderId="0" xfId="0" applyFont="1"/>
    <xf numFmtId="0" fontId="8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left" vertical="center" indent="1"/>
    </xf>
    <xf numFmtId="165" fontId="11" fillId="8" borderId="2" xfId="0" applyNumberFormat="1" applyFont="1" applyFill="1" applyBorder="1" applyAlignment="1">
      <alignment horizontal="center" vertical="center" wrapText="1"/>
    </xf>
    <xf numFmtId="10" fontId="11" fillId="5" borderId="2" xfId="0" applyNumberFormat="1" applyFont="1" applyFill="1" applyBorder="1" applyAlignment="1">
      <alignment horizontal="center" vertical="center" wrapText="1"/>
    </xf>
    <xf numFmtId="10" fontId="4" fillId="9" borderId="2" xfId="0" applyNumberFormat="1" applyFont="1" applyFill="1" applyBorder="1" applyAlignment="1">
      <alignment horizontal="center" vertical="center" wrapText="1"/>
    </xf>
    <xf numFmtId="166" fontId="12" fillId="5" borderId="3" xfId="0" applyNumberFormat="1" applyFont="1" applyFill="1" applyBorder="1" applyAlignment="1">
      <alignment horizontal="center" vertical="center" wrapText="1"/>
    </xf>
    <xf numFmtId="167" fontId="11" fillId="5" borderId="2" xfId="0" applyNumberFormat="1" applyFont="1" applyFill="1" applyBorder="1" applyAlignment="1">
      <alignment horizontal="center" vertical="center" wrapText="1"/>
    </xf>
    <xf numFmtId="168" fontId="13" fillId="9" borderId="3" xfId="0" applyNumberFormat="1" applyFont="1" applyFill="1" applyBorder="1" applyAlignment="1">
      <alignment horizontal="center" vertical="center" wrapText="1"/>
    </xf>
    <xf numFmtId="0" fontId="14" fillId="10" borderId="3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left" vertical="top" wrapText="1"/>
    </xf>
    <xf numFmtId="0" fontId="16" fillId="5" borderId="2" xfId="0" applyFont="1" applyFill="1" applyBorder="1" applyAlignment="1">
      <alignment horizontal="left" vertical="center" wrapText="1"/>
    </xf>
    <xf numFmtId="0" fontId="10" fillId="8" borderId="2" xfId="0" applyFont="1" applyFill="1" applyBorder="1" applyAlignment="1">
      <alignment horizontal="left" vertical="center" indent="1"/>
    </xf>
    <xf numFmtId="0" fontId="16" fillId="5" borderId="2" xfId="0" applyFont="1" applyFill="1" applyBorder="1" applyAlignment="1">
      <alignment horizontal="center" vertical="center" wrapText="1"/>
    </xf>
    <xf numFmtId="10" fontId="17" fillId="2" borderId="4" xfId="0" applyNumberFormat="1" applyFont="1" applyFill="1" applyBorder="1" applyAlignment="1">
      <alignment horizontal="center" vertical="center" wrapText="1"/>
    </xf>
    <xf numFmtId="166" fontId="13" fillId="9" borderId="3" xfId="0" applyNumberFormat="1" applyFont="1" applyFill="1" applyBorder="1" applyAlignment="1">
      <alignment horizontal="center" vertical="center" wrapText="1"/>
    </xf>
    <xf numFmtId="167" fontId="17" fillId="2" borderId="4" xfId="0" applyNumberFormat="1" applyFont="1" applyFill="1" applyBorder="1" applyAlignment="1">
      <alignment horizontal="center" vertical="center" wrapText="1"/>
    </xf>
    <xf numFmtId="0" fontId="1" fillId="9" borderId="3" xfId="0" applyFont="1" applyFill="1" applyBorder="1"/>
    <xf numFmtId="0" fontId="10" fillId="5" borderId="2" xfId="0" applyFont="1" applyFill="1" applyBorder="1" applyAlignment="1">
      <alignment horizontal="left" vertical="center" indent="1"/>
    </xf>
    <xf numFmtId="0" fontId="8" fillId="14" borderId="6" xfId="0" applyFont="1" applyFill="1" applyBorder="1" applyAlignment="1">
      <alignment horizontal="center" vertical="center" wrapText="1"/>
    </xf>
    <xf numFmtId="0" fontId="28" fillId="16" borderId="7" xfId="0" applyFont="1" applyFill="1" applyBorder="1" applyAlignment="1">
      <alignment vertical="center"/>
    </xf>
    <xf numFmtId="0" fontId="29" fillId="17" borderId="8" xfId="0" applyFont="1" applyFill="1" applyBorder="1" applyAlignment="1">
      <alignment horizontal="center" vertical="center"/>
    </xf>
    <xf numFmtId="0" fontId="28" fillId="16" borderId="0" xfId="0" applyFont="1" applyFill="1" applyAlignment="1">
      <alignment horizontal="center" vertical="center"/>
    </xf>
    <xf numFmtId="0" fontId="31" fillId="0" borderId="0" xfId="0" applyFont="1"/>
    <xf numFmtId="0" fontId="10" fillId="7" borderId="2" xfId="0" applyFont="1" applyFill="1" applyBorder="1" applyAlignment="1">
      <alignment horizontal="center" vertical="center" wrapText="1"/>
    </xf>
    <xf numFmtId="165" fontId="24" fillId="7" borderId="2" xfId="0" applyNumberFormat="1" applyFont="1" applyFill="1" applyBorder="1" applyAlignment="1">
      <alignment horizontal="center" vertical="center" wrapText="1"/>
    </xf>
    <xf numFmtId="10" fontId="24" fillId="7" borderId="2" xfId="0" applyNumberFormat="1" applyFont="1" applyFill="1" applyBorder="1" applyAlignment="1">
      <alignment horizontal="center" vertical="center" wrapText="1"/>
    </xf>
    <xf numFmtId="10" fontId="22" fillId="19" borderId="2" xfId="0" applyNumberFormat="1" applyFont="1" applyFill="1" applyBorder="1" applyAlignment="1">
      <alignment horizontal="center" vertical="center" wrapText="1"/>
    </xf>
    <xf numFmtId="10" fontId="33" fillId="9" borderId="2" xfId="0" applyNumberFormat="1" applyFont="1" applyFill="1" applyBorder="1" applyAlignment="1">
      <alignment horizontal="center" vertical="center" wrapText="1"/>
    </xf>
    <xf numFmtId="167" fontId="18" fillId="7" borderId="2" xfId="0" applyNumberFormat="1" applyFont="1" applyFill="1" applyBorder="1" applyAlignment="1">
      <alignment horizontal="center" vertical="center" wrapText="1"/>
    </xf>
    <xf numFmtId="0" fontId="15" fillId="7" borderId="2" xfId="0" applyFont="1" applyFill="1" applyBorder="1" applyAlignment="1">
      <alignment horizontal="left" vertical="center" wrapText="1"/>
    </xf>
    <xf numFmtId="0" fontId="35" fillId="7" borderId="2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 wrapText="1"/>
    </xf>
    <xf numFmtId="165" fontId="24" fillId="8" borderId="2" xfId="0" applyNumberFormat="1" applyFont="1" applyFill="1" applyBorder="1" applyAlignment="1">
      <alignment horizontal="center" vertical="center" wrapText="1"/>
    </xf>
    <xf numFmtId="10" fontId="24" fillId="8" borderId="2" xfId="0" applyNumberFormat="1" applyFont="1" applyFill="1" applyBorder="1" applyAlignment="1">
      <alignment horizontal="center" vertical="center" wrapText="1"/>
    </xf>
    <xf numFmtId="167" fontId="18" fillId="8" borderId="2" xfId="0" applyNumberFormat="1" applyFont="1" applyFill="1" applyBorder="1" applyAlignment="1">
      <alignment horizontal="center" vertical="center" wrapText="1"/>
    </xf>
    <xf numFmtId="0" fontId="35" fillId="8" borderId="2" xfId="0" applyFont="1" applyFill="1" applyBorder="1" applyAlignment="1">
      <alignment horizontal="center" vertical="center" wrapText="1"/>
    </xf>
    <xf numFmtId="0" fontId="35" fillId="0" borderId="2" xfId="0" applyFont="1" applyBorder="1" applyAlignment="1">
      <alignment horizontal="center" vertical="center" wrapText="1"/>
    </xf>
    <xf numFmtId="0" fontId="36" fillId="7" borderId="2" xfId="0" applyFont="1" applyFill="1" applyBorder="1" applyAlignment="1">
      <alignment horizontal="left" vertical="center" wrapText="1" indent="1"/>
    </xf>
    <xf numFmtId="0" fontId="18" fillId="3" borderId="2" xfId="0" applyFont="1" applyFill="1" applyBorder="1" applyAlignment="1">
      <alignment horizontal="center" vertical="center" wrapText="1"/>
    </xf>
    <xf numFmtId="0" fontId="10" fillId="18" borderId="2" xfId="0" applyFont="1" applyFill="1" applyBorder="1" applyAlignment="1">
      <alignment horizontal="left" vertical="center" indent="1"/>
    </xf>
    <xf numFmtId="0" fontId="10" fillId="19" borderId="2" xfId="0" applyFont="1" applyFill="1" applyBorder="1" applyAlignment="1">
      <alignment horizontal="left" vertical="center" indent="1"/>
    </xf>
    <xf numFmtId="0" fontId="0" fillId="3" borderId="2" xfId="0" applyFill="1" applyBorder="1"/>
    <xf numFmtId="0" fontId="10" fillId="21" borderId="2" xfId="0" applyFont="1" applyFill="1" applyBorder="1" applyAlignment="1">
      <alignment horizontal="left" vertical="center" indent="1"/>
    </xf>
    <xf numFmtId="0" fontId="24" fillId="7" borderId="2" xfId="0" applyFont="1" applyFill="1" applyBorder="1" applyAlignment="1">
      <alignment horizontal="left" vertical="center" wrapText="1" indent="1"/>
    </xf>
    <xf numFmtId="0" fontId="10" fillId="4" borderId="2" xfId="0" applyFont="1" applyFill="1" applyBorder="1" applyAlignment="1">
      <alignment horizontal="left" vertical="center" indent="1"/>
    </xf>
    <xf numFmtId="0" fontId="24" fillId="4" borderId="2" xfId="0" applyFont="1" applyFill="1" applyBorder="1" applyAlignment="1">
      <alignment horizontal="left" vertical="center" wrapText="1" indent="1"/>
    </xf>
    <xf numFmtId="0" fontId="15" fillId="5" borderId="2" xfId="0" quotePrefix="1" applyFont="1" applyFill="1" applyBorder="1" applyAlignment="1">
      <alignment horizontal="left" vertical="top" wrapText="1"/>
    </xf>
    <xf numFmtId="164" fontId="1" fillId="0" borderId="0" xfId="0" applyNumberFormat="1" applyFont="1"/>
    <xf numFmtId="0" fontId="42" fillId="6" borderId="1" xfId="0" applyFont="1" applyFill="1" applyBorder="1" applyAlignment="1">
      <alignment horizontal="center" vertical="center" wrapText="1"/>
    </xf>
    <xf numFmtId="168" fontId="13" fillId="24" borderId="3" xfId="0" applyNumberFormat="1" applyFont="1" applyFill="1" applyBorder="1" applyAlignment="1">
      <alignment horizontal="center" vertical="center" wrapText="1"/>
    </xf>
    <xf numFmtId="0" fontId="1" fillId="24" borderId="3" xfId="0" applyFont="1" applyFill="1" applyBorder="1"/>
    <xf numFmtId="10" fontId="17" fillId="25" borderId="4" xfId="0" applyNumberFormat="1" applyFont="1" applyFill="1" applyBorder="1" applyAlignment="1">
      <alignment horizontal="center" vertical="center" wrapText="1"/>
    </xf>
    <xf numFmtId="166" fontId="43" fillId="24" borderId="3" xfId="0" applyNumberFormat="1" applyFont="1" applyFill="1" applyBorder="1" applyAlignment="1">
      <alignment horizontal="center" vertical="center" wrapText="1"/>
    </xf>
    <xf numFmtId="0" fontId="15" fillId="8" borderId="2" xfId="0" applyFont="1" applyFill="1" applyBorder="1" applyAlignment="1">
      <alignment horizontal="left" vertical="center" wrapText="1"/>
    </xf>
    <xf numFmtId="167" fontId="12" fillId="5" borderId="3" xfId="0" applyNumberFormat="1" applyFont="1" applyFill="1" applyBorder="1" applyAlignment="1">
      <alignment horizontal="center" vertical="center" wrapText="1"/>
    </xf>
    <xf numFmtId="167" fontId="34" fillId="3" borderId="3" xfId="0" applyNumberFormat="1" applyFont="1" applyFill="1" applyBorder="1" applyAlignment="1">
      <alignment horizontal="center" vertical="center" wrapText="1"/>
    </xf>
    <xf numFmtId="10" fontId="1" fillId="0" borderId="0" xfId="0" applyNumberFormat="1" applyFont="1"/>
    <xf numFmtId="10" fontId="9" fillId="6" borderId="1" xfId="0" applyNumberFormat="1" applyFont="1" applyFill="1" applyBorder="1" applyAlignment="1">
      <alignment horizontal="center" vertical="center" wrapText="1"/>
    </xf>
    <xf numFmtId="10" fontId="13" fillId="9" borderId="3" xfId="0" applyNumberFormat="1" applyFont="1" applyFill="1" applyBorder="1" applyAlignment="1">
      <alignment horizontal="center" vertical="center" wrapText="1"/>
    </xf>
    <xf numFmtId="10" fontId="0" fillId="0" borderId="0" xfId="0" applyNumberFormat="1"/>
    <xf numFmtId="170" fontId="11" fillId="5" borderId="2" xfId="0" applyNumberFormat="1" applyFont="1" applyFill="1" applyBorder="1" applyAlignment="1">
      <alignment horizontal="center" vertical="center" wrapText="1"/>
    </xf>
    <xf numFmtId="0" fontId="32" fillId="26" borderId="0" xfId="0" applyFont="1" applyFill="1" applyAlignment="1">
      <alignment horizontal="center" vertical="center" wrapText="1"/>
    </xf>
    <xf numFmtId="0" fontId="32" fillId="26" borderId="0" xfId="0" applyFont="1" applyFill="1" applyAlignment="1">
      <alignment horizontal="left" vertical="center" wrapText="1"/>
    </xf>
    <xf numFmtId="0" fontId="8" fillId="26" borderId="0" xfId="0" applyFont="1" applyFill="1" applyAlignment="1">
      <alignment horizontal="center" vertical="center" wrapText="1"/>
    </xf>
    <xf numFmtId="0" fontId="1" fillId="27" borderId="3" xfId="0" applyFont="1" applyFill="1" applyBorder="1"/>
    <xf numFmtId="0" fontId="1" fillId="27" borderId="3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10" fillId="3" borderId="2" xfId="0" applyFont="1" applyFill="1" applyBorder="1" applyAlignment="1">
      <alignment horizontal="center" vertical="center" wrapText="1"/>
    </xf>
    <xf numFmtId="10" fontId="0" fillId="0" borderId="0" xfId="2" applyNumberFormat="1" applyFont="1"/>
    <xf numFmtId="170" fontId="22" fillId="19" borderId="2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 indent="2"/>
    </xf>
    <xf numFmtId="0" fontId="1" fillId="0" borderId="0" xfId="0" applyFont="1"/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 indent="2"/>
    </xf>
    <xf numFmtId="14" fontId="5" fillId="5" borderId="0" xfId="0" applyNumberFormat="1" applyFont="1" applyFill="1" applyAlignment="1">
      <alignment horizontal="center" vertical="center"/>
    </xf>
    <xf numFmtId="0" fontId="6" fillId="4" borderId="0" xfId="0" applyFont="1" applyFill="1" applyAlignment="1">
      <alignment horizontal="left" vertical="center" indent="1"/>
    </xf>
    <xf numFmtId="0" fontId="7" fillId="2" borderId="0" xfId="0" applyFont="1" applyFill="1" applyAlignment="1">
      <alignment horizontal="left" vertical="center" indent="2"/>
    </xf>
    <xf numFmtId="0" fontId="8" fillId="2" borderId="0" xfId="0" applyFont="1" applyFill="1" applyAlignment="1">
      <alignment horizontal="center" vertical="center" wrapText="1"/>
    </xf>
    <xf numFmtId="0" fontId="7" fillId="11" borderId="0" xfId="0" applyFont="1" applyFill="1" applyAlignment="1">
      <alignment horizontal="left" vertical="center" indent="2"/>
    </xf>
    <xf numFmtId="0" fontId="8" fillId="12" borderId="5" xfId="0" applyFont="1" applyFill="1" applyBorder="1" applyAlignment="1">
      <alignment horizontal="center" vertical="center" wrapText="1"/>
    </xf>
    <xf numFmtId="0" fontId="18" fillId="5" borderId="2" xfId="0" applyFont="1" applyFill="1" applyBorder="1" applyAlignment="1">
      <alignment horizontal="left" vertical="center" indent="1"/>
    </xf>
    <xf numFmtId="0" fontId="18" fillId="5" borderId="2" xfId="0" applyFont="1" applyFill="1" applyBorder="1" applyAlignment="1">
      <alignment horizontal="left" vertical="center" wrapText="1"/>
    </xf>
    <xf numFmtId="169" fontId="19" fillId="5" borderId="2" xfId="0" applyNumberFormat="1" applyFont="1" applyFill="1" applyBorder="1" applyAlignment="1">
      <alignment horizontal="right" vertical="center"/>
    </xf>
    <xf numFmtId="0" fontId="20" fillId="11" borderId="0" xfId="0" applyFont="1" applyFill="1" applyAlignment="1">
      <alignment horizontal="right" vertical="center"/>
    </xf>
    <xf numFmtId="169" fontId="21" fillId="11" borderId="0" xfId="0" applyNumberFormat="1" applyFont="1" applyFill="1" applyAlignment="1">
      <alignment horizontal="right" vertical="center"/>
    </xf>
    <xf numFmtId="0" fontId="7" fillId="13" borderId="0" xfId="0" applyFont="1" applyFill="1" applyAlignment="1">
      <alignment horizontal="left" vertical="center" indent="2"/>
    </xf>
    <xf numFmtId="0" fontId="8" fillId="14" borderId="6" xfId="0" applyFont="1" applyFill="1" applyBorder="1" applyAlignment="1">
      <alignment horizontal="center" vertical="center" wrapText="1"/>
    </xf>
    <xf numFmtId="0" fontId="18" fillId="5" borderId="2" xfId="0" applyFont="1" applyFill="1" applyBorder="1" applyAlignment="1">
      <alignment horizontal="center" vertical="center"/>
    </xf>
    <xf numFmtId="169" fontId="22" fillId="5" borderId="2" xfId="0" applyNumberFormat="1" applyFont="1" applyFill="1" applyBorder="1" applyAlignment="1">
      <alignment horizontal="right" vertical="center"/>
    </xf>
    <xf numFmtId="0" fontId="20" fillId="13" borderId="0" xfId="0" applyFont="1" applyFill="1" applyAlignment="1">
      <alignment horizontal="right" vertical="center"/>
    </xf>
    <xf numFmtId="169" fontId="23" fillId="13" borderId="0" xfId="0" applyNumberFormat="1" applyFont="1" applyFill="1" applyAlignment="1">
      <alignment horizontal="right" vertical="center"/>
    </xf>
    <xf numFmtId="0" fontId="7" fillId="15" borderId="0" xfId="0" applyFont="1" applyFill="1" applyAlignment="1">
      <alignment horizontal="left" vertical="center" indent="2"/>
    </xf>
    <xf numFmtId="0" fontId="24" fillId="5" borderId="2" xfId="0" applyFont="1" applyFill="1" applyBorder="1" applyAlignment="1">
      <alignment horizontal="left" vertical="center" indent="2"/>
    </xf>
    <xf numFmtId="0" fontId="25" fillId="3" borderId="4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6" fillId="2" borderId="0" xfId="0" applyFont="1" applyFill="1" applyAlignment="1">
      <alignment horizontal="left" vertical="center" indent="2"/>
    </xf>
    <xf numFmtId="14" fontId="41" fillId="23" borderId="0" xfId="0" applyNumberFormat="1" applyFont="1" applyFill="1" applyAlignment="1">
      <alignment vertical="center"/>
    </xf>
    <xf numFmtId="0" fontId="27" fillId="3" borderId="0" xfId="0" applyFont="1" applyFill="1" applyAlignment="1">
      <alignment horizontal="left" vertical="center" indent="2"/>
    </xf>
    <xf numFmtId="0" fontId="28" fillId="16" borderId="8" xfId="0" applyFont="1" applyFill="1" applyBorder="1" applyAlignment="1">
      <alignment horizontal="center" vertical="center"/>
    </xf>
    <xf numFmtId="167" fontId="30" fillId="18" borderId="9" xfId="0" applyNumberFormat="1" applyFont="1" applyFill="1" applyBorder="1" applyAlignment="1">
      <alignment horizontal="center" vertical="center"/>
    </xf>
    <xf numFmtId="167" fontId="30" fillId="18" borderId="10" xfId="0" applyNumberFormat="1" applyFont="1" applyFill="1" applyBorder="1" applyAlignment="1">
      <alignment horizontal="center" vertical="center"/>
    </xf>
    <xf numFmtId="167" fontId="40" fillId="22" borderId="8" xfId="0" applyNumberFormat="1" applyFont="1" applyFill="1" applyBorder="1" applyAlignment="1">
      <alignment horizontal="center" vertical="center"/>
    </xf>
    <xf numFmtId="0" fontId="8" fillId="25" borderId="0" xfId="0" applyFont="1" applyFill="1" applyAlignment="1">
      <alignment horizontal="center" vertical="center" wrapText="1"/>
    </xf>
    <xf numFmtId="0" fontId="20" fillId="11" borderId="0" xfId="0" applyFont="1" applyFill="1" applyAlignment="1">
      <alignment horizontal="left" vertical="center" indent="2"/>
    </xf>
    <xf numFmtId="0" fontId="24" fillId="7" borderId="2" xfId="0" applyFont="1" applyFill="1" applyBorder="1" applyAlignment="1">
      <alignment horizontal="left" vertical="center" indent="1"/>
    </xf>
    <xf numFmtId="169" fontId="37" fillId="7" borderId="2" xfId="0" applyNumberFormat="1" applyFont="1" applyFill="1" applyBorder="1" applyAlignment="1">
      <alignment horizontal="right" vertical="center"/>
    </xf>
    <xf numFmtId="43" fontId="18" fillId="18" borderId="2" xfId="1" applyFont="1" applyFill="1" applyBorder="1" applyAlignment="1">
      <alignment horizontal="left" vertical="center" indent="1"/>
    </xf>
    <xf numFmtId="0" fontId="24" fillId="18" borderId="2" xfId="0" applyFont="1" applyFill="1" applyBorder="1" applyAlignment="1">
      <alignment horizontal="left" vertical="center" indent="1"/>
    </xf>
    <xf numFmtId="169" fontId="37" fillId="18" borderId="2" xfId="0" applyNumberFormat="1" applyFont="1" applyFill="1" applyBorder="1" applyAlignment="1">
      <alignment horizontal="right" vertical="center"/>
    </xf>
    <xf numFmtId="43" fontId="18" fillId="7" borderId="2" xfId="1" applyFont="1" applyFill="1" applyBorder="1" applyAlignment="1">
      <alignment horizontal="left" vertical="center" indent="1"/>
    </xf>
    <xf numFmtId="0" fontId="18" fillId="18" borderId="2" xfId="0" applyFont="1" applyFill="1" applyBorder="1" applyAlignment="1">
      <alignment horizontal="left" vertical="center" indent="1"/>
    </xf>
    <xf numFmtId="0" fontId="18" fillId="7" borderId="2" xfId="0" applyFont="1" applyFill="1" applyBorder="1" applyAlignment="1">
      <alignment horizontal="left" vertical="center" indent="1"/>
    </xf>
    <xf numFmtId="0" fontId="20" fillId="13" borderId="0" xfId="0" applyFont="1" applyFill="1" applyAlignment="1">
      <alignment horizontal="left" vertical="center" indent="2"/>
    </xf>
    <xf numFmtId="0" fontId="18" fillId="7" borderId="2" xfId="0" applyFont="1" applyFill="1" applyBorder="1" applyAlignment="1">
      <alignment horizontal="left" vertical="center" wrapText="1" indent="1"/>
    </xf>
    <xf numFmtId="169" fontId="38" fillId="7" borderId="2" xfId="0" applyNumberFormat="1" applyFont="1" applyFill="1" applyBorder="1" applyAlignment="1">
      <alignment horizontal="right" vertical="center"/>
    </xf>
    <xf numFmtId="0" fontId="18" fillId="19" borderId="2" xfId="0" applyFont="1" applyFill="1" applyBorder="1" applyAlignment="1">
      <alignment horizontal="left" vertical="center" indent="1"/>
    </xf>
    <xf numFmtId="0" fontId="24" fillId="19" borderId="2" xfId="0" applyFont="1" applyFill="1" applyBorder="1" applyAlignment="1">
      <alignment horizontal="left" vertical="center" indent="1"/>
    </xf>
    <xf numFmtId="169" fontId="38" fillId="19" borderId="2" xfId="0" applyNumberFormat="1" applyFont="1" applyFill="1" applyBorder="1" applyAlignment="1">
      <alignment horizontal="right" vertical="center"/>
    </xf>
    <xf numFmtId="0" fontId="20" fillId="15" borderId="0" xfId="0" applyFont="1" applyFill="1" applyAlignment="1">
      <alignment horizontal="left" vertical="center" indent="2"/>
    </xf>
    <xf numFmtId="0" fontId="24" fillId="20" borderId="2" xfId="0" applyFont="1" applyFill="1" applyBorder="1" applyAlignment="1">
      <alignment horizontal="left" vertical="center" indent="2"/>
    </xf>
    <xf numFmtId="0" fontId="39" fillId="2" borderId="0" xfId="0" applyFont="1" applyFill="1" applyAlignment="1">
      <alignment horizontal="center" vertical="center" wrapText="1"/>
    </xf>
    <xf numFmtId="0" fontId="20" fillId="6" borderId="0" xfId="0" applyFont="1" applyFill="1" applyAlignment="1">
      <alignment horizontal="left" vertical="center" indent="1"/>
    </xf>
    <xf numFmtId="169" fontId="19" fillId="5" borderId="11" xfId="0" applyNumberFormat="1" applyFont="1" applyFill="1" applyBorder="1" applyAlignment="1">
      <alignment horizontal="right" vertical="center"/>
    </xf>
    <xf numFmtId="169" fontId="19" fillId="5" borderId="12" xfId="0" applyNumberFormat="1" applyFont="1" applyFill="1" applyBorder="1" applyAlignment="1">
      <alignment horizontal="right" vertical="center"/>
    </xf>
    <xf numFmtId="169" fontId="19" fillId="5" borderId="13" xfId="0" applyNumberFormat="1" applyFont="1" applyFill="1" applyBorder="1" applyAlignment="1">
      <alignment horizontal="right" vertical="center"/>
    </xf>
    <xf numFmtId="0" fontId="18" fillId="5" borderId="11" xfId="0" applyFont="1" applyFill="1" applyBorder="1" applyAlignment="1">
      <alignment horizontal="left" vertical="center"/>
    </xf>
    <xf numFmtId="0" fontId="18" fillId="5" borderId="12" xfId="0" applyFont="1" applyFill="1" applyBorder="1" applyAlignment="1">
      <alignment horizontal="left" vertical="center"/>
    </xf>
    <xf numFmtId="0" fontId="18" fillId="5" borderId="13" xfId="0" applyFont="1" applyFill="1" applyBorder="1" applyAlignment="1">
      <alignment horizontal="left" vertical="center"/>
    </xf>
    <xf numFmtId="0" fontId="18" fillId="5" borderId="2" xfId="0" applyFont="1" applyFill="1" applyBorder="1" applyAlignment="1">
      <alignment vertical="center"/>
    </xf>
    <xf numFmtId="0" fontId="35" fillId="7" borderId="2" xfId="0" applyFont="1" applyFill="1" applyBorder="1" applyAlignment="1">
      <alignment horizontal="left" vertical="center" wrapText="1"/>
    </xf>
  </cellXfs>
  <cellStyles count="3">
    <cellStyle name="Comma" xfId="1" builtinId="3"/>
    <cellStyle name="Normal" xfId="0" builtinId="0"/>
    <cellStyle name="Percent" xfId="2" builtinId="5"/>
  </cellStyles>
  <dxfs count="21">
    <dxf>
      <font>
        <b/>
        <sz val="8"/>
        <color rgb="FF155724"/>
        <name val="Arial"/>
        <charset val="1"/>
      </font>
      <fill>
        <patternFill>
          <bgColor rgb="FFD4EDDA"/>
        </patternFill>
      </fill>
    </dxf>
    <dxf>
      <font>
        <b/>
        <sz val="8"/>
        <color rgb="FFCC6600"/>
        <name val="Arial"/>
        <charset val="1"/>
      </font>
      <fill>
        <patternFill>
          <bgColor rgb="FFFFF3CD"/>
        </patternFill>
      </fill>
    </dxf>
    <dxf>
      <font>
        <b/>
        <sz val="8"/>
        <color rgb="FFCC0000"/>
        <name val="Arial"/>
        <charset val="1"/>
      </font>
      <fill>
        <patternFill>
          <bgColor rgb="FFFFD5D5"/>
        </patternFill>
      </fill>
    </dxf>
    <dxf>
      <font>
        <b/>
        <sz val="8"/>
        <color rgb="FF155724"/>
        <name val="Arial"/>
        <charset val="1"/>
      </font>
      <fill>
        <patternFill>
          <bgColor rgb="FFD4EDDA"/>
        </patternFill>
      </fill>
    </dxf>
    <dxf>
      <font>
        <b/>
        <sz val="8"/>
        <color rgb="FFCC6600"/>
        <name val="Arial"/>
        <charset val="1"/>
      </font>
      <fill>
        <patternFill>
          <bgColor rgb="FFFFF3CD"/>
        </patternFill>
      </fill>
    </dxf>
    <dxf>
      <font>
        <b/>
        <sz val="8"/>
        <color rgb="FFCC0000"/>
        <name val="Arial"/>
        <charset val="1"/>
      </font>
      <fill>
        <patternFill>
          <bgColor rgb="FFFFD5D5"/>
        </patternFill>
      </fill>
    </dxf>
    <dxf>
      <font>
        <b/>
        <color rgb="FF92400E"/>
        <name val="Arial"/>
        <charset val="1"/>
      </font>
      <fill>
        <patternFill>
          <bgColor rgb="FFFEF3C7"/>
        </patternFill>
      </fill>
    </dxf>
    <dxf>
      <font>
        <b/>
        <color rgb="FF92400E"/>
        <name val="Arial"/>
        <charset val="1"/>
      </font>
      <fill>
        <patternFill>
          <bgColor rgb="FFFEF3C7"/>
        </patternFill>
      </fill>
    </dxf>
    <dxf>
      <font>
        <b/>
        <color rgb="FF92400E"/>
        <name val="Arial"/>
        <charset val="1"/>
      </font>
      <fill>
        <patternFill>
          <bgColor rgb="FFFEF3C7"/>
        </patternFill>
      </fill>
    </dxf>
    <dxf>
      <font>
        <b/>
        <color rgb="FF92400E"/>
        <name val="Arial"/>
        <charset val="1"/>
      </font>
      <fill>
        <patternFill>
          <bgColor rgb="FFFEF3C7"/>
        </patternFill>
      </fill>
    </dxf>
    <dxf>
      <font>
        <b/>
        <color rgb="FF166534"/>
        <name val="Arial"/>
        <charset val="1"/>
      </font>
      <fill>
        <patternFill>
          <bgColor rgb="FFDCFCE7"/>
        </patternFill>
      </fill>
    </dxf>
    <dxf>
      <font>
        <b/>
        <color rgb="FF9B1C1C"/>
        <name val="Arial"/>
        <charset val="1"/>
      </font>
      <fill>
        <patternFill>
          <bgColor rgb="FFFEE2E2"/>
        </patternFill>
      </fill>
    </dxf>
    <dxf>
      <font>
        <b/>
        <sz val="8"/>
        <color rgb="FF155724"/>
        <name val="Arial"/>
        <charset val="1"/>
      </font>
      <fill>
        <patternFill>
          <bgColor rgb="FFD4EDDA"/>
        </patternFill>
      </fill>
    </dxf>
    <dxf>
      <font>
        <b/>
        <sz val="8"/>
        <color rgb="FFCC6600"/>
        <name val="Arial"/>
        <charset val="1"/>
      </font>
      <fill>
        <patternFill>
          <bgColor rgb="FFFFF3CD"/>
        </patternFill>
      </fill>
    </dxf>
    <dxf>
      <font>
        <b/>
        <sz val="8"/>
        <color rgb="FFCC0000"/>
        <name val="Arial"/>
        <charset val="1"/>
      </font>
      <fill>
        <patternFill>
          <bgColor rgb="FFFFD5D5"/>
        </patternFill>
      </fill>
    </dxf>
    <dxf>
      <font>
        <b/>
        <color rgb="FF92400E"/>
        <name val="Arial"/>
        <charset val="1"/>
      </font>
      <fill>
        <patternFill>
          <bgColor rgb="FFFEF3C7"/>
        </patternFill>
      </fill>
    </dxf>
    <dxf>
      <font>
        <b/>
        <color rgb="FF92400E"/>
        <name val="Arial"/>
        <charset val="1"/>
      </font>
      <fill>
        <patternFill>
          <bgColor rgb="FFFEF3C7"/>
        </patternFill>
      </fill>
    </dxf>
    <dxf>
      <font>
        <b/>
        <color rgb="FF92400E"/>
        <name val="Arial"/>
        <charset val="1"/>
      </font>
      <fill>
        <patternFill>
          <bgColor rgb="FFFEF3C7"/>
        </patternFill>
      </fill>
    </dxf>
    <dxf>
      <font>
        <b/>
        <color rgb="FF92400E"/>
        <name val="Arial"/>
        <charset val="1"/>
      </font>
      <fill>
        <patternFill>
          <bgColor rgb="FFFEF3C7"/>
        </patternFill>
      </fill>
    </dxf>
    <dxf>
      <font>
        <b/>
        <color rgb="FF166534"/>
        <name val="Arial"/>
        <charset val="1"/>
      </font>
      <fill>
        <patternFill>
          <bgColor rgb="FFDCFCE7"/>
        </patternFill>
      </fill>
    </dxf>
    <dxf>
      <font>
        <b/>
        <color rgb="FF9B1C1C"/>
        <name val="Arial"/>
        <charset val="1"/>
      </font>
      <fill>
        <patternFill>
          <bgColor rgb="FFFEE2E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EF3C7"/>
      <rgbColor rgb="FFFF00FF"/>
      <rgbColor rgb="FFEFF6FF"/>
      <rgbColor rgb="FF7F1D1D"/>
      <rgbColor rgb="FF166534"/>
      <rgbColor rgb="FF000080"/>
      <rgbColor rgb="FFF8FAFC"/>
      <rgbColor rgb="FFDC2626"/>
      <rgbColor rgb="FF00B050"/>
      <rgbColor rgb="FFD0D0D0"/>
      <rgbColor rgb="FFFEE2E2"/>
      <rgbColor rgb="FFDBEAFE"/>
      <rgbColor rgb="FF78350F"/>
      <rgbColor rgb="FFFFF8E1"/>
      <rgbColor rgb="FFDCFCE7"/>
      <rgbColor rgb="FF660066"/>
      <rgbColor rgb="FFEF4444"/>
      <rgbColor rgb="FF0066CC"/>
      <rgbColor rgb="FFCBD5E1"/>
      <rgbColor rgb="FF000080"/>
      <rgbColor rgb="FFFF00FF"/>
      <rgbColor rgb="FFFFF3CD"/>
      <rgbColor rgb="FFF5F5F5"/>
      <rgbColor rgb="FF800080"/>
      <rgbColor rgb="FF9B1C1C"/>
      <rgbColor rgb="FF008080"/>
      <rgbColor rgb="FF0000FF"/>
      <rgbColor rgb="FF0EA5E9"/>
      <rgbColor rgb="FFE0F2FE"/>
      <rgbColor rgb="FFD4EDDA"/>
      <rgbColor rgb="FFFFFF99"/>
      <rgbColor rgb="FF86EFAC"/>
      <rgbColor rgb="FFFCA5A5"/>
      <rgbColor rgb="FFFFD5D5"/>
      <rgbColor rgb="FFFCD5B5"/>
      <rgbColor rgb="FF3366FF"/>
      <rgbColor rgb="FFEBF4FF"/>
      <rgbColor rgb="FFE8E8E8"/>
      <rgbColor rgb="FFFCD34D"/>
      <rgbColor rgb="FFC9A227"/>
      <rgbColor rgb="FFCC6600"/>
      <rgbColor rgb="FF795548"/>
      <rgbColor rgb="FFC3D69B"/>
      <rgbColor rgb="FF1E3A5F"/>
      <rgbColor rgb="FF16A34A"/>
      <rgbColor rgb="FF14532D"/>
      <rgbColor rgb="FF155724"/>
      <rgbColor rgb="FF92400E"/>
      <rgbColor rgb="FF984807"/>
      <rgbColor rgb="FF2D5282"/>
      <rgbColor rgb="FF37415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3A5F"/>
    <pageSetUpPr fitToPage="1"/>
  </sheetPr>
  <dimension ref="A1:O50"/>
  <sheetViews>
    <sheetView showGridLines="0" topLeftCell="B28" zoomScaleNormal="100" workbookViewId="0">
      <selection activeCell="L17" sqref="L17"/>
    </sheetView>
  </sheetViews>
  <sheetFormatPr defaultColWidth="8.6640625" defaultRowHeight="14.4" x14ac:dyDescent="0.3"/>
  <cols>
    <col min="1" max="1" width="4" style="71" customWidth="1"/>
    <col min="2" max="2" width="28" customWidth="1"/>
    <col min="3" max="3" width="8" customWidth="1"/>
    <col min="4" max="4" width="11" customWidth="1"/>
    <col min="5" max="5" width="10" customWidth="1"/>
    <col min="6" max="6" width="12" customWidth="1"/>
    <col min="7" max="8" width="11" customWidth="1"/>
    <col min="9" max="9" width="12" customWidth="1"/>
    <col min="10" max="10" width="9" style="64" customWidth="1"/>
    <col min="11" max="11" width="24" customWidth="1"/>
    <col min="12" max="12" width="47" customWidth="1"/>
    <col min="13" max="13" width="22" customWidth="1"/>
  </cols>
  <sheetData>
    <row r="1" spans="1:15" ht="4.5" customHeight="1" x14ac:dyDescent="0.3">
      <c r="G1" s="3"/>
      <c r="H1" s="3"/>
      <c r="I1" s="3"/>
      <c r="J1" s="61"/>
      <c r="K1" s="3"/>
      <c r="L1" s="3"/>
      <c r="M1" s="3"/>
      <c r="N1" s="3"/>
      <c r="O1" s="3"/>
    </row>
    <row r="2" spans="1:15" ht="30" customHeight="1" x14ac:dyDescent="0.3">
      <c r="A2" s="75" t="s">
        <v>0</v>
      </c>
      <c r="B2" s="75"/>
      <c r="C2" s="75"/>
      <c r="D2" s="75"/>
      <c r="E2" s="75"/>
      <c r="F2" s="75"/>
      <c r="G2" s="75"/>
      <c r="H2" s="75"/>
      <c r="I2" s="75"/>
      <c r="J2" s="76" t="s">
        <v>1</v>
      </c>
      <c r="K2" s="76"/>
      <c r="L2" s="76"/>
      <c r="M2" s="76"/>
      <c r="N2" s="3"/>
      <c r="O2" s="3"/>
    </row>
    <row r="3" spans="1:15" ht="18" customHeight="1" x14ac:dyDescent="0.3">
      <c r="A3" s="77" t="s">
        <v>2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3"/>
      <c r="O3" s="3"/>
    </row>
    <row r="4" spans="1:15" ht="7.5" customHeight="1" x14ac:dyDescent="0.3">
      <c r="G4" s="3"/>
      <c r="H4" s="3"/>
      <c r="I4" s="3"/>
      <c r="J4" s="61"/>
      <c r="K4" s="3"/>
      <c r="L4" s="3"/>
      <c r="M4" s="3"/>
      <c r="N4" s="3"/>
      <c r="O4" s="3"/>
    </row>
    <row r="5" spans="1:15" ht="21.75" customHeight="1" x14ac:dyDescent="0.3">
      <c r="A5" s="78" t="s">
        <v>3</v>
      </c>
      <c r="B5" s="78"/>
      <c r="C5" s="78"/>
      <c r="D5" s="79">
        <v>46112</v>
      </c>
      <c r="E5" s="79"/>
      <c r="F5" s="80" t="s">
        <v>4</v>
      </c>
      <c r="G5" s="80"/>
      <c r="H5" s="80"/>
      <c r="I5" s="80"/>
      <c r="J5" s="80"/>
      <c r="K5" s="80"/>
      <c r="L5" s="80"/>
      <c r="M5" s="80"/>
      <c r="N5" s="3"/>
      <c r="O5" s="3"/>
    </row>
    <row r="6" spans="1:15" ht="7.5" customHeight="1" x14ac:dyDescent="0.3">
      <c r="G6" s="3"/>
      <c r="H6" s="3"/>
      <c r="I6" s="3"/>
      <c r="J6" s="61"/>
      <c r="K6" s="3"/>
      <c r="L6" s="3"/>
      <c r="M6" s="3"/>
      <c r="N6" s="3"/>
      <c r="O6" s="3"/>
    </row>
    <row r="7" spans="1:15" ht="18" customHeight="1" x14ac:dyDescent="0.3">
      <c r="A7" s="81" t="s">
        <v>5</v>
      </c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3"/>
      <c r="O7" s="3"/>
    </row>
    <row r="8" spans="1:15" ht="30" customHeight="1" x14ac:dyDescent="0.3">
      <c r="A8" s="4" t="s">
        <v>6</v>
      </c>
      <c r="B8" s="4" t="s">
        <v>7</v>
      </c>
      <c r="C8" s="4" t="s">
        <v>8</v>
      </c>
      <c r="D8" s="4" t="s">
        <v>9</v>
      </c>
      <c r="E8" s="4" t="s">
        <v>10</v>
      </c>
      <c r="F8" s="4" t="s">
        <v>11</v>
      </c>
      <c r="G8" s="5" t="s">
        <v>12</v>
      </c>
      <c r="H8" s="5" t="s">
        <v>13</v>
      </c>
      <c r="I8" s="5" t="s">
        <v>14</v>
      </c>
      <c r="J8" s="62" t="s">
        <v>15</v>
      </c>
      <c r="K8" s="5" t="s">
        <v>16</v>
      </c>
      <c r="L8" s="5" t="s">
        <v>17</v>
      </c>
      <c r="M8" s="5" t="s">
        <v>18</v>
      </c>
      <c r="N8" s="3"/>
      <c r="O8" s="3"/>
    </row>
    <row r="9" spans="1:15" ht="173.4" x14ac:dyDescent="0.3">
      <c r="A9" s="72">
        <v>1</v>
      </c>
      <c r="B9" s="6" t="s">
        <v>19</v>
      </c>
      <c r="C9" s="7">
        <v>100</v>
      </c>
      <c r="D9" s="8">
        <v>0.28420000000000006</v>
      </c>
      <c r="E9" s="8">
        <v>1.9E-3</v>
      </c>
      <c r="F9" s="9">
        <f t="shared" ref="F9:F17" si="0">D9+E9</f>
        <v>0.28610000000000008</v>
      </c>
      <c r="G9" s="59">
        <v>63.198999999999998</v>
      </c>
      <c r="H9" s="11">
        <v>29.550999999999998</v>
      </c>
      <c r="I9" s="11">
        <v>18.007999999999999</v>
      </c>
      <c r="J9" s="63">
        <f t="shared" ref="J9:J18" si="1">IF(OR(G9=0,G9=""),"",H9/G9)</f>
        <v>0.46758651244481714</v>
      </c>
      <c r="K9" s="13" t="str">
        <f t="shared" ref="K9:K17" si="2">IF(OR(G9=0,G9=""),"—",IF(J9&lt;F9,"⚠ SL &lt; TD "&amp;TEXT((F9-J9)*100,"0.0")&amp;"%",IF(J9&lt;0.1,"⚠ SL &lt; 10%","✓")))</f>
        <v>✓</v>
      </c>
      <c r="L9" s="14" t="s">
        <v>115</v>
      </c>
      <c r="M9" s="15"/>
      <c r="N9" s="3"/>
      <c r="O9" s="3"/>
    </row>
    <row r="10" spans="1:15" ht="48" x14ac:dyDescent="0.3">
      <c r="A10" s="72">
        <v>2</v>
      </c>
      <c r="B10" s="16" t="s">
        <v>20</v>
      </c>
      <c r="C10" s="7">
        <v>100</v>
      </c>
      <c r="D10" s="8">
        <v>0.10315789473684224</v>
      </c>
      <c r="E10" s="8">
        <f>1/950</f>
        <v>1.0526315789473684E-3</v>
      </c>
      <c r="F10" s="9">
        <f t="shared" si="0"/>
        <v>0.10421052631578961</v>
      </c>
      <c r="G10" s="10"/>
      <c r="H10" s="11"/>
      <c r="I10" s="11"/>
      <c r="J10" s="63" t="str">
        <f t="shared" si="1"/>
        <v/>
      </c>
      <c r="K10" s="13" t="str">
        <f t="shared" si="2"/>
        <v>—</v>
      </c>
      <c r="L10" s="51"/>
      <c r="M10" s="15" t="s">
        <v>141</v>
      </c>
      <c r="N10" s="3"/>
      <c r="O10" s="3"/>
    </row>
    <row r="11" spans="1:15" ht="42" customHeight="1" x14ac:dyDescent="0.3">
      <c r="A11" s="72">
        <v>3</v>
      </c>
      <c r="B11" s="6" t="s">
        <v>21</v>
      </c>
      <c r="C11" s="7">
        <v>100</v>
      </c>
      <c r="D11" s="8">
        <v>0.40040000000000014</v>
      </c>
      <c r="E11" s="8">
        <v>2.8E-3</v>
      </c>
      <c r="F11" s="9">
        <f t="shared" si="0"/>
        <v>0.40320000000000017</v>
      </c>
      <c r="G11" s="59">
        <v>157.345</v>
      </c>
      <c r="H11" s="11">
        <v>12.689</v>
      </c>
      <c r="I11" s="11">
        <v>5.2939999999999996</v>
      </c>
      <c r="J11" s="63">
        <f t="shared" si="1"/>
        <v>8.0644443738282126E-2</v>
      </c>
      <c r="K11" s="13" t="str">
        <f t="shared" si="2"/>
        <v>⚠ SL &lt; TD 32%</v>
      </c>
      <c r="L11" s="51" t="s">
        <v>116</v>
      </c>
      <c r="M11" s="17" t="s">
        <v>142</v>
      </c>
      <c r="N11" s="3"/>
      <c r="O11" s="3"/>
    </row>
    <row r="12" spans="1:15" ht="42" customHeight="1" x14ac:dyDescent="0.3">
      <c r="A12" s="72">
        <v>4</v>
      </c>
      <c r="B12" s="16" t="s">
        <v>22</v>
      </c>
      <c r="C12" s="7">
        <v>100</v>
      </c>
      <c r="D12" s="8">
        <v>0</v>
      </c>
      <c r="E12" s="8">
        <v>0</v>
      </c>
      <c r="F12" s="9">
        <f t="shared" si="0"/>
        <v>0</v>
      </c>
      <c r="G12" s="10"/>
      <c r="H12" s="11"/>
      <c r="I12" s="11"/>
      <c r="J12" s="63" t="str">
        <f t="shared" si="1"/>
        <v/>
      </c>
      <c r="K12" s="13" t="str">
        <f t="shared" si="2"/>
        <v>—</v>
      </c>
      <c r="L12" s="51" t="s">
        <v>113</v>
      </c>
      <c r="M12" s="17" t="s">
        <v>143</v>
      </c>
      <c r="N12" s="3"/>
      <c r="O12" s="3"/>
    </row>
    <row r="13" spans="1:15" ht="106.8" customHeight="1" x14ac:dyDescent="0.3">
      <c r="A13" s="72">
        <v>5</v>
      </c>
      <c r="B13" s="6" t="s">
        <v>23</v>
      </c>
      <c r="C13" s="7">
        <v>100</v>
      </c>
      <c r="D13" s="8">
        <v>0.34859999999999985</v>
      </c>
      <c r="E13" s="8">
        <v>2.7000000000000001E-3</v>
      </c>
      <c r="F13" s="9">
        <f t="shared" si="0"/>
        <v>0.35129999999999983</v>
      </c>
      <c r="G13" s="59">
        <v>568.79100000000005</v>
      </c>
      <c r="H13" s="11">
        <v>13.811</v>
      </c>
      <c r="I13" s="11"/>
      <c r="J13" s="63">
        <f t="shared" si="1"/>
        <v>2.4281326532944437E-2</v>
      </c>
      <c r="K13" s="13" t="str">
        <f t="shared" si="2"/>
        <v>⚠ SL &lt; TD 33%</v>
      </c>
      <c r="L13" s="51" t="s">
        <v>117</v>
      </c>
      <c r="M13" s="15" t="s">
        <v>140</v>
      </c>
      <c r="N13" s="3"/>
      <c r="O13" s="3"/>
    </row>
    <row r="14" spans="1:15" ht="20.399999999999999" x14ac:dyDescent="0.3">
      <c r="A14" s="72">
        <v>6</v>
      </c>
      <c r="B14" s="16" t="s">
        <v>24</v>
      </c>
      <c r="C14" s="7">
        <v>100</v>
      </c>
      <c r="D14" s="65">
        <v>2.2222222222222218E-3</v>
      </c>
      <c r="E14" s="65">
        <v>2.2222222222222223E-5</v>
      </c>
      <c r="F14" s="9">
        <f t="shared" si="0"/>
        <v>2.2444444444444439E-3</v>
      </c>
      <c r="G14" s="59">
        <v>127.72</v>
      </c>
      <c r="H14" s="11"/>
      <c r="I14" s="11"/>
      <c r="J14" s="63">
        <f t="shared" si="1"/>
        <v>0</v>
      </c>
      <c r="K14" s="13" t="str">
        <f t="shared" si="2"/>
        <v>⚠ SL &lt; TD 00%</v>
      </c>
      <c r="L14" s="51" t="s">
        <v>144</v>
      </c>
      <c r="M14" s="17" t="s">
        <v>25</v>
      </c>
      <c r="N14" s="3"/>
      <c r="O14" s="3"/>
    </row>
    <row r="15" spans="1:15" ht="42" customHeight="1" x14ac:dyDescent="0.3">
      <c r="A15" s="72">
        <v>7</v>
      </c>
      <c r="B15" s="6" t="s">
        <v>26</v>
      </c>
      <c r="C15" s="7">
        <v>100</v>
      </c>
      <c r="D15" s="8">
        <v>0</v>
      </c>
      <c r="E15" s="8">
        <v>0</v>
      </c>
      <c r="F15" s="9">
        <f t="shared" si="0"/>
        <v>0</v>
      </c>
      <c r="G15" s="59">
        <v>91.838999999999999</v>
      </c>
      <c r="H15" s="11"/>
      <c r="I15" s="11"/>
      <c r="J15" s="63">
        <f t="shared" si="1"/>
        <v>0</v>
      </c>
      <c r="K15" s="13" t="str">
        <f t="shared" si="2"/>
        <v>⚠ SL &lt; 10%</v>
      </c>
      <c r="L15" s="14" t="s">
        <v>27</v>
      </c>
      <c r="M15" s="17" t="s">
        <v>28</v>
      </c>
      <c r="N15" s="3"/>
      <c r="O15" s="3"/>
    </row>
    <row r="16" spans="1:15" ht="44.25" customHeight="1" x14ac:dyDescent="0.3">
      <c r="A16" s="72">
        <v>8</v>
      </c>
      <c r="B16" s="16" t="s">
        <v>29</v>
      </c>
      <c r="C16" s="7">
        <v>100</v>
      </c>
      <c r="D16" s="8">
        <v>0.24466451612903226</v>
      </c>
      <c r="E16" s="8">
        <f>1/372</f>
        <v>2.6881720430107529E-3</v>
      </c>
      <c r="F16" s="9">
        <f t="shared" si="0"/>
        <v>0.24735268817204301</v>
      </c>
      <c r="G16" s="59">
        <v>95.091999999999999</v>
      </c>
      <c r="H16" s="11">
        <v>1.2</v>
      </c>
      <c r="I16" s="11"/>
      <c r="J16" s="63">
        <f t="shared" si="1"/>
        <v>1.2619358095318218E-2</v>
      </c>
      <c r="K16" s="13" t="str">
        <f t="shared" si="2"/>
        <v>⚠ SL &lt; TD 23%</v>
      </c>
      <c r="L16" s="51" t="s">
        <v>30</v>
      </c>
      <c r="M16" s="17" t="s">
        <v>25</v>
      </c>
      <c r="N16" s="3"/>
      <c r="O16" s="3"/>
    </row>
    <row r="17" spans="1:15" ht="42" customHeight="1" x14ac:dyDescent="0.3">
      <c r="A17" s="72">
        <v>9</v>
      </c>
      <c r="B17" s="6" t="s">
        <v>31</v>
      </c>
      <c r="C17" s="7">
        <v>100</v>
      </c>
      <c r="D17" s="8">
        <v>0</v>
      </c>
      <c r="E17" s="8">
        <v>0</v>
      </c>
      <c r="F17" s="9">
        <f t="shared" si="0"/>
        <v>0</v>
      </c>
      <c r="G17" s="59"/>
      <c r="H17" s="11"/>
      <c r="I17" s="11"/>
      <c r="J17" s="63" t="str">
        <f t="shared" si="1"/>
        <v/>
      </c>
      <c r="K17" s="13" t="str">
        <f t="shared" si="2"/>
        <v>—</v>
      </c>
      <c r="L17" s="51" t="s">
        <v>109</v>
      </c>
      <c r="M17" s="17" t="s">
        <v>114</v>
      </c>
      <c r="N17" s="3"/>
      <c r="O17" s="3"/>
    </row>
    <row r="18" spans="1:15" ht="18" customHeight="1" x14ac:dyDescent="0.3">
      <c r="A18" s="82" t="s">
        <v>32</v>
      </c>
      <c r="B18" s="82"/>
      <c r="C18" s="82"/>
      <c r="D18" s="82"/>
      <c r="E18" s="82"/>
      <c r="F18" s="18">
        <f>AVERAGE(F9:F17)</f>
        <v>0.15493418432580858</v>
      </c>
      <c r="G18" s="19">
        <f>SUM(G9:G17)</f>
        <v>1103.9860000000001</v>
      </c>
      <c r="H18" s="20">
        <f>SUM(H9:H17)</f>
        <v>57.250999999999998</v>
      </c>
      <c r="I18" s="20">
        <f>SUM(I9:I17)</f>
        <v>23.302</v>
      </c>
      <c r="J18" s="63">
        <f t="shared" si="1"/>
        <v>5.1858447480312243E-2</v>
      </c>
      <c r="K18" s="21"/>
      <c r="L18" s="3"/>
      <c r="M18" s="3"/>
      <c r="N18" s="3"/>
      <c r="O18" s="3"/>
    </row>
    <row r="19" spans="1:15" ht="14.25" customHeight="1" x14ac:dyDescent="0.3">
      <c r="G19" s="3"/>
      <c r="H19" s="3"/>
      <c r="I19" s="3"/>
      <c r="J19" s="61"/>
      <c r="K19" s="3"/>
      <c r="L19" s="3"/>
      <c r="M19" s="3"/>
      <c r="N19" s="3"/>
      <c r="O19" s="3"/>
    </row>
    <row r="20" spans="1:15" ht="18" customHeight="1" x14ac:dyDescent="0.3">
      <c r="A20" s="83" t="s">
        <v>33</v>
      </c>
      <c r="B20" s="83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3"/>
      <c r="O20" s="3"/>
    </row>
    <row r="21" spans="1:15" ht="18" customHeight="1" x14ac:dyDescent="0.3">
      <c r="A21" s="2" t="s">
        <v>6</v>
      </c>
      <c r="B21" s="2" t="s">
        <v>34</v>
      </c>
      <c r="C21" s="84" t="s">
        <v>35</v>
      </c>
      <c r="D21" s="84"/>
      <c r="E21" s="84" t="s">
        <v>36</v>
      </c>
      <c r="F21" s="84"/>
      <c r="G21" s="84"/>
      <c r="H21" s="84"/>
      <c r="I21" s="84"/>
      <c r="J21" s="84" t="s">
        <v>37</v>
      </c>
      <c r="K21" s="84"/>
      <c r="L21" s="84"/>
      <c r="M21" s="84"/>
      <c r="N21" s="3"/>
      <c r="O21" s="3"/>
    </row>
    <row r="22" spans="1:15" ht="24" customHeight="1" x14ac:dyDescent="0.3">
      <c r="A22" s="43">
        <v>1</v>
      </c>
      <c r="B22" s="22" t="s">
        <v>123</v>
      </c>
      <c r="C22" s="85" t="s">
        <v>124</v>
      </c>
      <c r="D22" s="85"/>
      <c r="E22" s="86" t="s">
        <v>125</v>
      </c>
      <c r="F22" s="86"/>
      <c r="G22" s="86"/>
      <c r="H22" s="86"/>
      <c r="I22" s="86"/>
      <c r="J22" s="87">
        <v>1500000</v>
      </c>
      <c r="K22" s="87"/>
      <c r="L22" s="87"/>
      <c r="M22" s="87"/>
      <c r="N22" s="3"/>
      <c r="O22" s="3"/>
    </row>
    <row r="23" spans="1:15" ht="18" customHeight="1" x14ac:dyDescent="0.3">
      <c r="A23" s="43">
        <v>2</v>
      </c>
      <c r="B23" s="22" t="s">
        <v>123</v>
      </c>
      <c r="C23" s="85" t="s">
        <v>126</v>
      </c>
      <c r="D23" s="85"/>
      <c r="E23" s="134" t="s">
        <v>127</v>
      </c>
      <c r="F23" s="134"/>
      <c r="G23" s="134"/>
      <c r="H23" s="134"/>
      <c r="I23" s="134"/>
      <c r="J23" s="87">
        <v>208310964</v>
      </c>
      <c r="K23" s="87"/>
      <c r="L23" s="87"/>
      <c r="M23" s="87"/>
      <c r="N23" s="3"/>
      <c r="O23" s="3"/>
    </row>
    <row r="24" spans="1:15" ht="18" customHeight="1" x14ac:dyDescent="0.3">
      <c r="A24" s="43">
        <v>5</v>
      </c>
      <c r="B24" s="22" t="s">
        <v>128</v>
      </c>
      <c r="C24" s="85" t="s">
        <v>129</v>
      </c>
      <c r="D24" s="85"/>
      <c r="E24" s="134" t="s">
        <v>130</v>
      </c>
      <c r="F24" s="134"/>
      <c r="G24" s="134"/>
      <c r="H24" s="134"/>
      <c r="I24" s="134"/>
      <c r="J24" s="87">
        <v>919606364</v>
      </c>
      <c r="K24" s="87"/>
      <c r="L24" s="87"/>
      <c r="M24" s="87"/>
      <c r="N24" s="3"/>
      <c r="O24" s="3"/>
    </row>
    <row r="25" spans="1:15" ht="18" customHeight="1" x14ac:dyDescent="0.3">
      <c r="A25" s="43">
        <v>6</v>
      </c>
      <c r="B25" s="22" t="s">
        <v>128</v>
      </c>
      <c r="C25" s="85" t="s">
        <v>131</v>
      </c>
      <c r="D25" s="85"/>
      <c r="E25" s="134" t="s">
        <v>132</v>
      </c>
      <c r="F25" s="134"/>
      <c r="G25" s="134"/>
      <c r="H25" s="134"/>
      <c r="I25" s="134"/>
      <c r="J25" s="87">
        <v>971704830</v>
      </c>
      <c r="K25" s="87"/>
      <c r="L25" s="87"/>
      <c r="M25" s="87"/>
      <c r="N25" s="3"/>
      <c r="O25" s="3"/>
    </row>
    <row r="26" spans="1:15" ht="18" customHeight="1" x14ac:dyDescent="0.3">
      <c r="A26" s="43">
        <v>7</v>
      </c>
      <c r="B26" s="22" t="s">
        <v>135</v>
      </c>
      <c r="C26" s="85" t="s">
        <v>136</v>
      </c>
      <c r="D26" s="85"/>
      <c r="E26" s="134" t="s">
        <v>137</v>
      </c>
      <c r="F26" s="134"/>
      <c r="G26" s="134"/>
      <c r="H26" s="134"/>
      <c r="I26" s="134"/>
      <c r="J26" s="87">
        <v>6249733</v>
      </c>
      <c r="K26" s="87"/>
      <c r="L26" s="87"/>
      <c r="M26" s="87"/>
      <c r="N26" s="3"/>
      <c r="O26" s="3"/>
    </row>
    <row r="27" spans="1:15" ht="18" customHeight="1" x14ac:dyDescent="0.3">
      <c r="A27" s="43">
        <v>8</v>
      </c>
      <c r="B27" s="22" t="s">
        <v>123</v>
      </c>
      <c r="C27" s="1" t="s">
        <v>133</v>
      </c>
      <c r="D27" s="1"/>
      <c r="E27" s="131" t="s">
        <v>134</v>
      </c>
      <c r="F27" s="132"/>
      <c r="G27" s="132"/>
      <c r="H27" s="132"/>
      <c r="I27" s="133"/>
      <c r="J27" s="128">
        <v>5000000</v>
      </c>
      <c r="K27" s="129"/>
      <c r="L27" s="129"/>
      <c r="M27" s="130"/>
      <c r="N27" s="3"/>
      <c r="O27" s="3"/>
    </row>
    <row r="28" spans="1:15" ht="18" customHeight="1" x14ac:dyDescent="0.3">
      <c r="A28" s="43">
        <v>9</v>
      </c>
      <c r="B28" s="22" t="s">
        <v>123</v>
      </c>
      <c r="C28" s="1" t="s">
        <v>138</v>
      </c>
      <c r="D28" s="1"/>
      <c r="E28" s="131" t="s">
        <v>139</v>
      </c>
      <c r="F28" s="132"/>
      <c r="G28" s="132"/>
      <c r="H28" s="132"/>
      <c r="I28" s="133"/>
      <c r="J28" s="128">
        <v>29120000</v>
      </c>
      <c r="K28" s="129"/>
      <c r="L28" s="129"/>
      <c r="M28" s="130"/>
      <c r="N28" s="3"/>
      <c r="O28" s="3"/>
    </row>
    <row r="29" spans="1:15" ht="18" customHeight="1" x14ac:dyDescent="0.3">
      <c r="A29" s="43">
        <v>10</v>
      </c>
      <c r="B29" s="22"/>
      <c r="C29" s="85"/>
      <c r="D29" s="85"/>
      <c r="E29" s="85"/>
      <c r="F29" s="85"/>
      <c r="G29" s="85"/>
      <c r="H29" s="85"/>
      <c r="I29" s="85"/>
      <c r="J29" s="87"/>
      <c r="K29" s="87"/>
      <c r="L29" s="87"/>
      <c r="M29" s="87"/>
      <c r="N29" s="3"/>
      <c r="O29" s="3"/>
    </row>
    <row r="30" spans="1:15" ht="18" customHeight="1" x14ac:dyDescent="0.3">
      <c r="A30" s="43">
        <v>11</v>
      </c>
      <c r="B30" s="22"/>
      <c r="C30" s="85"/>
      <c r="D30" s="85"/>
      <c r="E30" s="85"/>
      <c r="F30" s="85"/>
      <c r="G30" s="85"/>
      <c r="H30" s="85"/>
      <c r="I30" s="85"/>
      <c r="J30" s="87"/>
      <c r="K30" s="87"/>
      <c r="L30" s="87"/>
      <c r="M30" s="87"/>
      <c r="N30" s="3"/>
      <c r="O30" s="3"/>
    </row>
    <row r="31" spans="1:15" ht="18" customHeight="1" x14ac:dyDescent="0.3">
      <c r="A31" s="88" t="s">
        <v>38</v>
      </c>
      <c r="B31" s="88"/>
      <c r="C31" s="88"/>
      <c r="D31" s="88"/>
      <c r="E31" s="88"/>
      <c r="F31" s="88"/>
      <c r="G31" s="88"/>
      <c r="H31" s="88"/>
      <c r="I31" s="88"/>
      <c r="J31" s="89">
        <f>SUM(J22:J30)</f>
        <v>2141491891</v>
      </c>
      <c r="K31" s="89"/>
      <c r="L31" s="89"/>
      <c r="M31" s="89"/>
      <c r="N31" s="3"/>
      <c r="O31" s="3"/>
    </row>
    <row r="32" spans="1:15" ht="14.25" customHeight="1" x14ac:dyDescent="0.3">
      <c r="G32" s="3"/>
      <c r="H32" s="3"/>
      <c r="I32" s="3"/>
      <c r="J32" s="61"/>
      <c r="K32" s="3"/>
      <c r="L32" s="3"/>
      <c r="M32" s="3"/>
      <c r="N32" s="3"/>
      <c r="O32" s="3"/>
    </row>
    <row r="33" spans="1:15" ht="18" customHeight="1" x14ac:dyDescent="0.3">
      <c r="A33" s="90" t="s">
        <v>39</v>
      </c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3"/>
      <c r="O33" s="3"/>
    </row>
    <row r="34" spans="1:15" ht="18" customHeight="1" x14ac:dyDescent="0.3">
      <c r="A34" s="23" t="s">
        <v>6</v>
      </c>
      <c r="B34" s="23" t="s">
        <v>34</v>
      </c>
      <c r="C34" s="91" t="s">
        <v>40</v>
      </c>
      <c r="D34" s="91"/>
      <c r="E34" s="91" t="s">
        <v>41</v>
      </c>
      <c r="F34" s="91"/>
      <c r="G34" s="91"/>
      <c r="H34" s="91"/>
      <c r="I34" s="91"/>
      <c r="J34" s="91" t="s">
        <v>37</v>
      </c>
      <c r="K34" s="91"/>
      <c r="L34" s="91"/>
      <c r="M34" s="91"/>
      <c r="N34" s="3"/>
      <c r="O34" s="3"/>
    </row>
    <row r="35" spans="1:15" ht="18" customHeight="1" x14ac:dyDescent="0.3">
      <c r="A35" s="43">
        <v>1</v>
      </c>
      <c r="B35" s="1"/>
      <c r="C35" s="92"/>
      <c r="D35" s="92"/>
      <c r="E35" s="85"/>
      <c r="F35" s="85"/>
      <c r="G35" s="85"/>
      <c r="H35" s="85"/>
      <c r="I35" s="85"/>
      <c r="J35" s="93"/>
      <c r="K35" s="93"/>
      <c r="L35" s="93"/>
      <c r="M35" s="93"/>
      <c r="N35" s="3"/>
      <c r="O35" s="3"/>
    </row>
    <row r="36" spans="1:15" ht="18" customHeight="1" x14ac:dyDescent="0.3">
      <c r="A36" s="43">
        <v>2</v>
      </c>
      <c r="B36" s="1"/>
      <c r="C36" s="85"/>
      <c r="D36" s="85"/>
      <c r="E36" s="85"/>
      <c r="F36" s="85"/>
      <c r="G36" s="85"/>
      <c r="H36" s="85"/>
      <c r="I36" s="85"/>
      <c r="J36" s="93"/>
      <c r="K36" s="93"/>
      <c r="L36" s="93"/>
      <c r="M36" s="93"/>
      <c r="N36" s="3"/>
      <c r="O36" s="3"/>
    </row>
    <row r="37" spans="1:15" ht="18" customHeight="1" x14ac:dyDescent="0.3">
      <c r="A37" s="43">
        <v>3</v>
      </c>
      <c r="B37" s="1"/>
      <c r="C37" s="85"/>
      <c r="D37" s="85"/>
      <c r="E37" s="85"/>
      <c r="F37" s="85"/>
      <c r="G37" s="85"/>
      <c r="H37" s="85"/>
      <c r="I37" s="85"/>
      <c r="J37" s="93"/>
      <c r="K37" s="93"/>
      <c r="L37" s="93"/>
      <c r="M37" s="93"/>
      <c r="N37" s="3"/>
      <c r="O37" s="3"/>
    </row>
    <row r="38" spans="1:15" ht="18" customHeight="1" x14ac:dyDescent="0.3">
      <c r="A38" s="43">
        <v>4</v>
      </c>
      <c r="B38" s="1"/>
      <c r="C38" s="85"/>
      <c r="D38" s="85"/>
      <c r="E38" s="85"/>
      <c r="F38" s="85"/>
      <c r="G38" s="85"/>
      <c r="H38" s="85"/>
      <c r="I38" s="85"/>
      <c r="J38" s="93"/>
      <c r="K38" s="93"/>
      <c r="L38" s="93"/>
      <c r="M38" s="93"/>
      <c r="N38" s="3"/>
      <c r="O38" s="3"/>
    </row>
    <row r="39" spans="1:15" ht="18" customHeight="1" x14ac:dyDescent="0.3">
      <c r="A39" s="43">
        <v>5</v>
      </c>
      <c r="B39" s="1"/>
      <c r="C39" s="85"/>
      <c r="D39" s="85"/>
      <c r="E39" s="85"/>
      <c r="F39" s="85"/>
      <c r="G39" s="85"/>
      <c r="H39" s="85"/>
      <c r="I39" s="85"/>
      <c r="J39" s="93"/>
      <c r="K39" s="93"/>
      <c r="L39" s="93"/>
      <c r="M39" s="93"/>
      <c r="N39" s="3"/>
      <c r="O39" s="3"/>
    </row>
    <row r="40" spans="1:15" ht="18" customHeight="1" x14ac:dyDescent="0.3">
      <c r="A40" s="94" t="s">
        <v>42</v>
      </c>
      <c r="B40" s="94"/>
      <c r="C40" s="94"/>
      <c r="D40" s="94"/>
      <c r="E40" s="94"/>
      <c r="F40" s="94"/>
      <c r="G40" s="94"/>
      <c r="H40" s="94"/>
      <c r="I40" s="94"/>
      <c r="J40" s="95">
        <f>SUM(J35:J39)</f>
        <v>0</v>
      </c>
      <c r="K40" s="95"/>
      <c r="L40" s="95"/>
      <c r="M40" s="95"/>
      <c r="N40" s="3"/>
      <c r="O40" s="3"/>
    </row>
    <row r="41" spans="1:15" ht="14.25" customHeight="1" x14ac:dyDescent="0.3">
      <c r="G41" s="3"/>
      <c r="H41" s="3"/>
      <c r="I41" s="3"/>
      <c r="J41" s="61"/>
      <c r="K41" s="3"/>
      <c r="L41" s="3"/>
      <c r="M41" s="3"/>
      <c r="N41" s="3"/>
      <c r="O41" s="3"/>
    </row>
    <row r="42" spans="1:15" ht="18" customHeight="1" x14ac:dyDescent="0.3">
      <c r="A42" s="96" t="s">
        <v>43</v>
      </c>
      <c r="B42" s="96"/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3"/>
      <c r="O42" s="3"/>
    </row>
    <row r="43" spans="1:15" ht="19.5" customHeight="1" x14ac:dyDescent="0.3">
      <c r="A43" s="97" t="s">
        <v>118</v>
      </c>
      <c r="B43" s="97"/>
      <c r="C43" s="97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3"/>
      <c r="O43" s="3"/>
    </row>
    <row r="44" spans="1:15" ht="19.5" customHeight="1" x14ac:dyDescent="0.3">
      <c r="A44" s="97" t="s">
        <v>119</v>
      </c>
      <c r="B44" s="97"/>
      <c r="C44" s="97"/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3"/>
      <c r="O44" s="3"/>
    </row>
    <row r="45" spans="1:15" ht="19.5" customHeight="1" x14ac:dyDescent="0.3">
      <c r="A45" s="97" t="s">
        <v>120</v>
      </c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3"/>
      <c r="O45" s="3"/>
    </row>
    <row r="46" spans="1:15" ht="19.5" customHeight="1" x14ac:dyDescent="0.3">
      <c r="A46" s="97" t="s">
        <v>121</v>
      </c>
      <c r="B46" s="97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3"/>
      <c r="O46" s="3"/>
    </row>
    <row r="47" spans="1:15" ht="19.5" customHeight="1" x14ac:dyDescent="0.3">
      <c r="A47" s="97" t="s">
        <v>122</v>
      </c>
      <c r="B47" s="97"/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3"/>
      <c r="O47" s="3"/>
    </row>
    <row r="48" spans="1:15" ht="19.5" customHeight="1" x14ac:dyDescent="0.3">
      <c r="A48" s="97"/>
      <c r="B48" s="97"/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3"/>
      <c r="O48" s="3"/>
    </row>
    <row r="49" spans="1:15" ht="14.25" customHeight="1" x14ac:dyDescent="0.3">
      <c r="G49" s="3"/>
      <c r="H49" s="3"/>
      <c r="I49" s="3"/>
      <c r="J49" s="61"/>
      <c r="K49" s="3"/>
      <c r="L49" s="3"/>
      <c r="M49" s="3"/>
      <c r="N49" s="3"/>
      <c r="O49" s="3"/>
    </row>
    <row r="50" spans="1:15" ht="43.5" customHeight="1" x14ac:dyDescent="0.3">
      <c r="A50" s="98" t="s">
        <v>44</v>
      </c>
      <c r="B50" s="98"/>
      <c r="C50" s="98"/>
      <c r="D50" s="98"/>
      <c r="E50" s="99" t="s">
        <v>45</v>
      </c>
      <c r="F50" s="99"/>
      <c r="G50" s="99"/>
      <c r="H50" s="99"/>
      <c r="I50" s="99"/>
      <c r="J50" s="100" t="s">
        <v>46</v>
      </c>
      <c r="K50" s="100"/>
      <c r="L50" s="100"/>
      <c r="M50" s="100"/>
      <c r="N50" s="3"/>
      <c r="O50" s="3"/>
    </row>
  </sheetData>
  <mergeCells count="70">
    <mergeCell ref="A45:M45"/>
    <mergeCell ref="A46:M46"/>
    <mergeCell ref="A47:M47"/>
    <mergeCell ref="A48:M48"/>
    <mergeCell ref="A50:D50"/>
    <mergeCell ref="E50:I50"/>
    <mergeCell ref="J50:M50"/>
    <mergeCell ref="A40:I40"/>
    <mergeCell ref="J40:M40"/>
    <mergeCell ref="A42:M42"/>
    <mergeCell ref="A43:M43"/>
    <mergeCell ref="A44:M44"/>
    <mergeCell ref="C38:D38"/>
    <mergeCell ref="E38:I38"/>
    <mergeCell ref="J38:M38"/>
    <mergeCell ref="C39:D39"/>
    <mergeCell ref="E39:I39"/>
    <mergeCell ref="J39:M39"/>
    <mergeCell ref="C36:D36"/>
    <mergeCell ref="E36:I36"/>
    <mergeCell ref="J36:M36"/>
    <mergeCell ref="C37:D37"/>
    <mergeCell ref="E37:I37"/>
    <mergeCell ref="J37:M37"/>
    <mergeCell ref="A33:M33"/>
    <mergeCell ref="C34:D34"/>
    <mergeCell ref="E34:I34"/>
    <mergeCell ref="J34:M34"/>
    <mergeCell ref="C35:D35"/>
    <mergeCell ref="E35:I35"/>
    <mergeCell ref="J35:M35"/>
    <mergeCell ref="C30:D30"/>
    <mergeCell ref="E30:I30"/>
    <mergeCell ref="J30:M30"/>
    <mergeCell ref="A31:I31"/>
    <mergeCell ref="J31:M31"/>
    <mergeCell ref="E28:I28"/>
    <mergeCell ref="J28:M28"/>
    <mergeCell ref="C29:D29"/>
    <mergeCell ref="E29:I29"/>
    <mergeCell ref="J29:M29"/>
    <mergeCell ref="C26:D26"/>
    <mergeCell ref="E26:I26"/>
    <mergeCell ref="J26:M26"/>
    <mergeCell ref="E27:I27"/>
    <mergeCell ref="J27:M27"/>
    <mergeCell ref="C24:D24"/>
    <mergeCell ref="E24:I24"/>
    <mergeCell ref="J24:M24"/>
    <mergeCell ref="C25:D25"/>
    <mergeCell ref="E25:I25"/>
    <mergeCell ref="J25:M25"/>
    <mergeCell ref="C22:D22"/>
    <mergeCell ref="E22:I22"/>
    <mergeCell ref="J22:M22"/>
    <mergeCell ref="C23:D23"/>
    <mergeCell ref="E23:I23"/>
    <mergeCell ref="J23:M23"/>
    <mergeCell ref="A7:M7"/>
    <mergeCell ref="A18:E18"/>
    <mergeCell ref="A20:M20"/>
    <mergeCell ref="C21:D21"/>
    <mergeCell ref="E21:I21"/>
    <mergeCell ref="J21:M21"/>
    <mergeCell ref="A2:I2"/>
    <mergeCell ref="J2:M2"/>
    <mergeCell ref="A3:M3"/>
    <mergeCell ref="A5:C5"/>
    <mergeCell ref="D5:E5"/>
    <mergeCell ref="F5:M5"/>
  </mergeCells>
  <conditionalFormatting sqref="J9:J17">
    <cfRule type="cellIs" dxfId="20" priority="2" operator="equal">
      <formula>"Cham tien do"</formula>
    </cfRule>
    <cfRule type="cellIs" dxfId="19" priority="3" operator="equal">
      <formula>"Dung tien do"</formula>
    </cfRule>
    <cfRule type="cellIs" dxfId="18" priority="4" operator="equal">
      <formula>"Vuong mat bang"</formula>
    </cfRule>
    <cfRule type="cellIs" dxfId="17" priority="5" operator="equal">
      <formula>"Chua ban giao MB"</formula>
    </cfRule>
    <cfRule type="cellIs" dxfId="16" priority="6" operator="equal">
      <formula>"Chua co phap ly"</formula>
    </cfRule>
    <cfRule type="cellIs" dxfId="15" priority="7" operator="equal">
      <formula>"Chua trien khai"</formula>
    </cfRule>
  </conditionalFormatting>
  <conditionalFormatting sqref="K9:K17">
    <cfRule type="expression" dxfId="14" priority="8">
      <formula>AND(G9&gt;0,J9&lt;F9)</formula>
    </cfRule>
    <cfRule type="expression" dxfId="13" priority="9">
      <formula>AND(G9&gt;0,J9&gt;=F9,J9&lt;0.1)</formula>
    </cfRule>
    <cfRule type="expression" dxfId="12" priority="10">
      <formula>AND(G9&gt;0,J9&gt;=F9,J9&gt;=0.1)</formula>
    </cfRule>
  </conditionalFormatting>
  <dataValidations count="1">
    <dataValidation type="list" sqref="J9:J17" xr:uid="{00000000-0002-0000-0000-000000000000}">
      <formula1>"—,Dung tien do,Cham tien do,Vuong mat bang,Chua ban giao MB,Chua co phap ly,Chua trien khai,Dang nghiem thu"</formula1>
      <formula2>0</formula2>
    </dataValidation>
  </dataValidations>
  <pageMargins left="0.4" right="0.4" top="0.5" bottom="0.5" header="0.511811023622047" footer="0.511811023622047"/>
  <pageSetup paperSize="9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9A227"/>
    <outlinePr summaryBelow="0" summaryRight="0"/>
    <pageSetUpPr fitToPage="1"/>
  </sheetPr>
  <dimension ref="A1:N49"/>
  <sheetViews>
    <sheetView showGridLines="0" tabSelected="1" zoomScaleNormal="100" workbookViewId="0">
      <selection activeCell="M12" sqref="M12"/>
    </sheetView>
  </sheetViews>
  <sheetFormatPr defaultColWidth="8.6640625" defaultRowHeight="14.4" outlineLevelRow="1" x14ac:dyDescent="0.3"/>
  <cols>
    <col min="1" max="1" width="4" customWidth="1"/>
    <col min="2" max="2" width="20.88671875" customWidth="1"/>
    <col min="3" max="3" width="8" customWidth="1"/>
    <col min="4" max="4" width="11" customWidth="1"/>
    <col min="5" max="5" width="10" customWidth="1"/>
    <col min="6" max="6" width="9.33203125" customWidth="1"/>
    <col min="7" max="8" width="10" customWidth="1"/>
    <col min="9" max="9" width="11" customWidth="1"/>
    <col min="10" max="10" width="8" customWidth="1"/>
    <col min="11" max="11" width="12.6640625" customWidth="1"/>
    <col min="12" max="12" width="50" customWidth="1"/>
    <col min="13" max="13" width="20" customWidth="1"/>
  </cols>
  <sheetData>
    <row r="1" spans="1:14" ht="4.5" customHeight="1" x14ac:dyDescent="0.3">
      <c r="G1" s="3"/>
      <c r="H1" s="3"/>
      <c r="I1" s="3"/>
      <c r="J1" s="3"/>
      <c r="K1" s="3"/>
      <c r="L1" s="3"/>
      <c r="M1" s="3"/>
    </row>
    <row r="2" spans="1:14" ht="36" customHeight="1" x14ac:dyDescent="0.3">
      <c r="A2" s="101" t="s">
        <v>47</v>
      </c>
      <c r="B2" s="101"/>
      <c r="C2" s="101"/>
      <c r="D2" s="101"/>
      <c r="E2" s="101"/>
      <c r="F2" s="101"/>
      <c r="G2" s="101"/>
      <c r="H2" s="101"/>
      <c r="I2" s="101"/>
      <c r="J2" s="102">
        <f>'NHAP LIEU'!D5</f>
        <v>46112</v>
      </c>
      <c r="K2" s="102"/>
      <c r="L2" s="102"/>
      <c r="M2" s="102"/>
    </row>
    <row r="3" spans="1:14" ht="7.5" customHeight="1" x14ac:dyDescent="0.3">
      <c r="G3" s="3"/>
      <c r="H3" s="3"/>
      <c r="I3" s="3"/>
      <c r="J3" s="3"/>
      <c r="K3" s="3"/>
      <c r="L3" s="3"/>
      <c r="M3" s="3"/>
    </row>
    <row r="4" spans="1:14" ht="18" customHeight="1" x14ac:dyDescent="0.3">
      <c r="A4" s="103" t="s">
        <v>48</v>
      </c>
      <c r="B4" s="103"/>
      <c r="C4" s="103"/>
      <c r="D4" s="103"/>
      <c r="E4" s="103"/>
      <c r="F4" s="103"/>
      <c r="G4" s="103"/>
      <c r="H4" s="103"/>
      <c r="I4" s="103"/>
      <c r="J4" s="52"/>
      <c r="K4" s="52"/>
      <c r="L4" s="52"/>
      <c r="M4" s="52"/>
    </row>
    <row r="5" spans="1:14" ht="18" customHeight="1" x14ac:dyDescent="0.3">
      <c r="A5" s="24"/>
      <c r="B5" s="25">
        <f>9-C5</f>
        <v>3</v>
      </c>
      <c r="C5" s="104">
        <v>6</v>
      </c>
      <c r="D5" s="104"/>
      <c r="E5" s="104"/>
      <c r="F5" s="105">
        <f>H21</f>
        <v>57.250999999999998</v>
      </c>
      <c r="G5" s="106"/>
      <c r="H5" s="107">
        <f>I21</f>
        <v>23.302</v>
      </c>
      <c r="I5" s="107"/>
      <c r="J5" s="3"/>
      <c r="K5" s="3"/>
      <c r="L5" s="3"/>
      <c r="M5" s="3"/>
    </row>
    <row r="6" spans="1:14" ht="18" customHeight="1" x14ac:dyDescent="0.3">
      <c r="A6" s="26"/>
      <c r="B6" s="25" t="s">
        <v>49</v>
      </c>
      <c r="C6" s="104" t="s">
        <v>50</v>
      </c>
      <c r="D6" s="104"/>
      <c r="E6" s="104"/>
      <c r="F6" s="105" t="s">
        <v>51</v>
      </c>
      <c r="G6" s="106"/>
      <c r="H6" s="107" t="s">
        <v>106</v>
      </c>
      <c r="I6" s="107"/>
      <c r="J6" s="3"/>
      <c r="K6" s="3"/>
      <c r="L6" s="3"/>
      <c r="M6" s="3"/>
    </row>
    <row r="7" spans="1:14" ht="7.5" customHeight="1" x14ac:dyDescent="0.3">
      <c r="B7" s="27"/>
      <c r="G7" s="3"/>
      <c r="H7" s="3"/>
      <c r="I7" s="3"/>
      <c r="J7" s="3"/>
      <c r="K7" s="3"/>
      <c r="L7" s="3"/>
      <c r="M7" s="3"/>
    </row>
    <row r="8" spans="1:14" ht="18" customHeight="1" x14ac:dyDescent="0.3">
      <c r="A8" s="81" t="s">
        <v>52</v>
      </c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</row>
    <row r="9" spans="1:14" ht="47.25" customHeight="1" x14ac:dyDescent="0.3">
      <c r="A9" s="4" t="s">
        <v>6</v>
      </c>
      <c r="B9" s="4" t="s">
        <v>53</v>
      </c>
      <c r="C9" s="4" t="s">
        <v>8</v>
      </c>
      <c r="D9" s="4" t="s">
        <v>110</v>
      </c>
      <c r="E9" s="4" t="s">
        <v>111</v>
      </c>
      <c r="F9" s="4" t="s">
        <v>112</v>
      </c>
      <c r="G9" s="5" t="s">
        <v>54</v>
      </c>
      <c r="H9" s="53" t="s">
        <v>107</v>
      </c>
      <c r="I9" s="53" t="s">
        <v>108</v>
      </c>
      <c r="J9" s="5" t="s">
        <v>55</v>
      </c>
      <c r="K9" s="5" t="s">
        <v>56</v>
      </c>
      <c r="L9" s="5" t="s">
        <v>57</v>
      </c>
      <c r="M9" s="5" t="s">
        <v>58</v>
      </c>
    </row>
    <row r="10" spans="1:14" ht="14.25" customHeight="1" x14ac:dyDescent="0.3">
      <c r="A10" s="66" t="s">
        <v>59</v>
      </c>
      <c r="B10" s="67" t="s">
        <v>60</v>
      </c>
      <c r="C10" s="68"/>
      <c r="D10" s="68"/>
      <c r="E10" s="68"/>
      <c r="F10" s="68"/>
      <c r="G10" s="69"/>
      <c r="H10" s="69"/>
      <c r="I10" s="69"/>
      <c r="J10" s="69"/>
      <c r="K10" s="69"/>
      <c r="L10" s="69"/>
      <c r="M10" s="69"/>
    </row>
    <row r="11" spans="1:14" ht="324" customHeight="1" x14ac:dyDescent="0.3">
      <c r="A11" s="28">
        <f>'NHAP LIEU'!A9</f>
        <v>1</v>
      </c>
      <c r="B11" s="6" t="str">
        <f>'NHAP LIEU'!B9</f>
        <v>XLNT TAY NINH</v>
      </c>
      <c r="C11" s="29">
        <f>'NHAP LIEU'!C9</f>
        <v>100</v>
      </c>
      <c r="D11" s="30">
        <f>'NHAP LIEU'!D9</f>
        <v>0.28420000000000006</v>
      </c>
      <c r="E11" s="31">
        <f>'NHAP LIEU'!E9</f>
        <v>1.9E-3</v>
      </c>
      <c r="F11" s="32">
        <f>'NHAP LIEU'!F9</f>
        <v>0.28610000000000008</v>
      </c>
      <c r="G11" s="60">
        <f>'NHAP LIEU'!G9</f>
        <v>63.198999999999998</v>
      </c>
      <c r="H11" s="33">
        <f>'NHAP LIEU'!H9</f>
        <v>29.550999999999998</v>
      </c>
      <c r="I11" s="33">
        <f>'NHAP LIEU'!I9</f>
        <v>18.007999999999999</v>
      </c>
      <c r="J11" s="12">
        <f>'NHAP LIEU'!J9</f>
        <v>0.46758651244481714</v>
      </c>
      <c r="K11" s="13" t="str">
        <f>'NHAP LIEU'!K9</f>
        <v>✓</v>
      </c>
      <c r="L11" s="34" t="str">
        <f>'NHAP LIEU'!L9</f>
        <v>* KL Công ty Đại Nam
- Đổ bê tông hố ga hộp đấu nối hộ dân và hộp chuyển hướng (05 cấu kiện), KL Đại Nam 5/170/920
- Thảm BTN đường Hoàng Lê Kha lớp 2, bảo dưỡng BTN.
* KL Công ty Toàn Thắng
- Đổ bê tông thân hố ga TO chính (02 cấu kiện), KL Toàn Thắng 2/206/222
- Đổ bê tông cổ hố ga TO chính (02 cấu kiện), KL Toàn Thắng 2/166/222, lắp đặt nắp gang 2/147/222
- Vận chuyển, lắp dựng hố ga TO chính trên tuyến, KL Toàn Thắng 3/171/222
- Đổ bê tông hố ga hộp đấu nối hộ dân và hộp chuyển hướng (05 cấu kiện), KL Toàn Thắng 5/265/2224
- Lắp đặt ống HDPE trên tuyến, KL Toàn Thắng OD355 120/3448/5252, OD450 0/289/367 (M)
- Thi công tuyến ống cấp 3, lắp đặt ống uPVC 160 KL 80/830/14647 (M)</v>
      </c>
      <c r="M11" s="35">
        <f>'NHAP LIEU'!M9</f>
        <v>0</v>
      </c>
    </row>
    <row r="12" spans="1:14" ht="51" customHeight="1" x14ac:dyDescent="0.3">
      <c r="A12" s="36">
        <f>'NHAP LIEU'!A10</f>
        <v>2</v>
      </c>
      <c r="B12" s="16" t="str">
        <f>'NHAP LIEU'!B10</f>
        <v>RACH XUYEN TAM</v>
      </c>
      <c r="C12" s="37">
        <f>'NHAP LIEU'!C10</f>
        <v>100</v>
      </c>
      <c r="D12" s="38">
        <f>'NHAP LIEU'!D10</f>
        <v>0.10315789473684224</v>
      </c>
      <c r="E12" s="31">
        <f>'NHAP LIEU'!E10</f>
        <v>1.0526315789473684E-3</v>
      </c>
      <c r="F12" s="32">
        <f>'NHAP LIEU'!F10</f>
        <v>0.10421052631578961</v>
      </c>
      <c r="G12" s="60">
        <f>'NHAP LIEU'!G10</f>
        <v>0</v>
      </c>
      <c r="H12" s="39">
        <f>'NHAP LIEU'!H10</f>
        <v>0</v>
      </c>
      <c r="I12" s="39">
        <f>'NHAP LIEU'!I10</f>
        <v>0</v>
      </c>
      <c r="J12" s="12" t="str">
        <f>'NHAP LIEU'!J10</f>
        <v/>
      </c>
      <c r="K12" s="13" t="str">
        <f>'NHAP LIEU'!K10</f>
        <v>—</v>
      </c>
      <c r="L12" s="58">
        <f>'NHAP LIEU'!L10</f>
        <v>0</v>
      </c>
      <c r="M12" s="40" t="str">
        <f>'NHAP LIEU'!M10</f>
        <v>1. Vướng mặt bằng
2. P.KHDA chưa trình BGĐ giá thi công văn phòng BĐH</v>
      </c>
    </row>
    <row r="13" spans="1:14" ht="54.75" customHeight="1" x14ac:dyDescent="0.3">
      <c r="A13" s="28">
        <f>'NHAP LIEU'!A11</f>
        <v>3</v>
      </c>
      <c r="B13" s="6" t="str">
        <f>'NHAP LIEU'!B11</f>
        <v>HUONG LO 11</v>
      </c>
      <c r="C13" s="29">
        <f>'NHAP LIEU'!C11</f>
        <v>100</v>
      </c>
      <c r="D13" s="30">
        <f>'NHAP LIEU'!D11</f>
        <v>0.40040000000000014</v>
      </c>
      <c r="E13" s="31">
        <f>'NHAP LIEU'!E11</f>
        <v>2.8E-3</v>
      </c>
      <c r="F13" s="32">
        <f>'NHAP LIEU'!F11</f>
        <v>0.40320000000000017</v>
      </c>
      <c r="G13" s="60">
        <f>'NHAP LIEU'!G11</f>
        <v>157.345</v>
      </c>
      <c r="H13" s="33">
        <f>'NHAP LIEU'!H11</f>
        <v>12.689</v>
      </c>
      <c r="I13" s="33">
        <f>'NHAP LIEU'!I11</f>
        <v>5.2939999999999996</v>
      </c>
      <c r="J13" s="12">
        <f>'NHAP LIEU'!J11</f>
        <v>8.0644443738282126E-2</v>
      </c>
      <c r="K13" s="13" t="str">
        <f>'NHAP LIEU'!K11</f>
        <v>⚠ SL &lt; TD 32%</v>
      </c>
      <c r="L13" s="34" t="str">
        <f>'NHAP LIEU'!L11</f>
        <v xml:space="preserve">- Tiến độ thực hiện dự án hơn 40% Tiến độ tổng thể.
=&gt; Đề xuất BGĐ đôn đôc phía Cty Phước Vạn Thịnh. </v>
      </c>
      <c r="M13" s="35" t="str">
        <f>'NHAP LIEU'!M11</f>
        <v>Vướng mặt bằng</v>
      </c>
    </row>
    <row r="14" spans="1:14" ht="81.599999999999994" x14ac:dyDescent="0.3">
      <c r="A14" s="36">
        <v>4</v>
      </c>
      <c r="B14" s="16" t="str">
        <f>'NHAP LIEU'!B13</f>
        <v>DMT TRA VINH 2</v>
      </c>
      <c r="C14" s="37">
        <f>'NHAP LIEU'!C13</f>
        <v>100</v>
      </c>
      <c r="D14" s="38">
        <f>'NHAP LIEU'!D13</f>
        <v>0.34859999999999985</v>
      </c>
      <c r="E14" s="31">
        <f>'NHAP LIEU'!E13</f>
        <v>2.7000000000000001E-3</v>
      </c>
      <c r="F14" s="32">
        <f>'NHAP LIEU'!F13</f>
        <v>0.35129999999999983</v>
      </c>
      <c r="G14" s="60">
        <f>'NHAP LIEU'!G13</f>
        <v>568.79100000000005</v>
      </c>
      <c r="H14" s="39">
        <f>'NHAP LIEU'!H13</f>
        <v>13.811</v>
      </c>
      <c r="I14" s="39">
        <f>'NHAP LIEU'!I13</f>
        <v>0</v>
      </c>
      <c r="J14" s="12">
        <f>'NHAP LIEU'!J13</f>
        <v>2.4281326532944437E-2</v>
      </c>
      <c r="K14" s="13" t="str">
        <f>'NHAP LIEU'!K13</f>
        <v>⚠ SL &lt; TD 33%</v>
      </c>
      <c r="L14" s="58" t="str">
        <f>'NHAP LIEU'!L13</f>
        <v>- Gia công cốt thép;
- Đỗ bê tông cọc 220x220x3900mm sản lượng 152/9.661/12.792                                                                   
+ Sản lượng nhà thầu Yên Phúc đã đúc 50/1.109 cọc                                                                                       + Sản lượng nhà thầu Xuân Sơn Hải Dương đã đúc: 42/40 cọc                                                          
- Bơm cát san lắp mặt bằng sản lượng: 250m3/2850m3                                                                         
- Vận chuyển cọc từ bãi gia công vào nhà máy ( Nhà Thầu Yên Phúc )                                             + Sản lượng vận chuyển 120/380 cọc                                                                                                                                 - San mặt bằng nền bãi chứa pin</v>
      </c>
      <c r="M14" s="135" t="str">
        <f>'NHAP LIEU'!M13</f>
        <v>1. Chưa có pháp lý
2. P.KHDA chưa trình BGĐ giá thầu phụ chào bãi chứa pin.</v>
      </c>
    </row>
    <row r="15" spans="1:14" ht="51" customHeight="1" x14ac:dyDescent="0.3">
      <c r="A15" s="28">
        <v>5</v>
      </c>
      <c r="B15" s="6" t="str">
        <f>'NHAP LIEU'!B14</f>
        <v>TINH LO 8</v>
      </c>
      <c r="C15" s="29">
        <f>'NHAP LIEU'!C14</f>
        <v>100</v>
      </c>
      <c r="D15" s="30">
        <f>'NHAP LIEU'!D14</f>
        <v>2.2222222222222218E-3</v>
      </c>
      <c r="E15" s="74">
        <f>'NHAP LIEU'!E14</f>
        <v>2.2222222222222223E-5</v>
      </c>
      <c r="F15" s="32">
        <f>'NHAP LIEU'!F14</f>
        <v>2.2444444444444439E-3</v>
      </c>
      <c r="G15" s="60">
        <f>'NHAP LIEU'!G14</f>
        <v>127.72</v>
      </c>
      <c r="H15" s="33">
        <f>'NHAP LIEU'!H14</f>
        <v>0</v>
      </c>
      <c r="I15" s="33">
        <f>'NHAP LIEU'!I14</f>
        <v>0</v>
      </c>
      <c r="J15" s="12">
        <f>'NHAP LIEU'!J14</f>
        <v>0</v>
      </c>
      <c r="K15" s="13" t="str">
        <f>'NHAP LIEU'!K14</f>
        <v>⚠ SL &lt; TD 00%</v>
      </c>
      <c r="L15" s="34" t="str">
        <f>'NHAP LIEU'!L14</f>
        <v xml:space="preserve">- Dự kiến 01/04/2026 Họp CĐT,TVGS, Nhà thầu về tiến độ và khó khăn thi công dự án.  </v>
      </c>
      <c r="M15" s="41" t="str">
        <f>'NHAP LIEU'!M14</f>
        <v>—</v>
      </c>
      <c r="N15" s="73"/>
    </row>
    <row r="16" spans="1:14" ht="51" customHeight="1" x14ac:dyDescent="0.3">
      <c r="A16" s="36">
        <v>6</v>
      </c>
      <c r="B16" s="16" t="str">
        <f>'NHAP LIEU'!B16</f>
        <v>KDC THUONG PHUOC</v>
      </c>
      <c r="C16" s="37">
        <f>'NHAP LIEU'!C16</f>
        <v>100</v>
      </c>
      <c r="D16" s="38">
        <f>'NHAP LIEU'!D16</f>
        <v>0.24466451612903226</v>
      </c>
      <c r="E16" s="31">
        <f>'NHAP LIEU'!E16</f>
        <v>2.6881720430107529E-3</v>
      </c>
      <c r="F16" s="32">
        <f>'NHAP LIEU'!F16</f>
        <v>0.24735268817204301</v>
      </c>
      <c r="G16" s="60">
        <f>'NHAP LIEU'!G16</f>
        <v>95.091999999999999</v>
      </c>
      <c r="H16" s="39">
        <f>'NHAP LIEU'!H16</f>
        <v>1.2</v>
      </c>
      <c r="I16" s="39">
        <f>'NHAP LIEU'!I16</f>
        <v>0</v>
      </c>
      <c r="J16" s="12">
        <f>'NHAP LIEU'!J16</f>
        <v>1.2619358095318218E-2</v>
      </c>
      <c r="K16" s="13" t="str">
        <f>'NHAP LIEU'!K16</f>
        <v>⚠ SL &lt; TD 23%</v>
      </c>
      <c r="L16" s="58" t="str">
        <f>'NHAP LIEU'!L16</f>
        <v>- Gia công thép hố ga;
- Gia công lắp dựng ván khuôn hố ga;
- Sửa máy taluy đê vây;
- Đổ bê tông hố ga.</v>
      </c>
      <c r="M16" s="36" t="str">
        <f>'NHAP LIEU'!M16</f>
        <v>—</v>
      </c>
    </row>
    <row r="17" spans="1:13" ht="14.25" customHeight="1" x14ac:dyDescent="0.3">
      <c r="A17" s="66" t="s">
        <v>61</v>
      </c>
      <c r="B17" s="67" t="s">
        <v>62</v>
      </c>
      <c r="C17" s="68"/>
      <c r="D17" s="68"/>
      <c r="E17" s="68"/>
      <c r="F17" s="68"/>
      <c r="G17" s="69"/>
      <c r="H17" s="69"/>
      <c r="I17" s="69"/>
      <c r="J17" s="69"/>
      <c r="K17" s="69"/>
      <c r="L17" s="70"/>
      <c r="M17" s="69"/>
    </row>
    <row r="18" spans="1:13" ht="36" customHeight="1" x14ac:dyDescent="0.3">
      <c r="A18" s="36">
        <v>7</v>
      </c>
      <c r="B18" s="16" t="str">
        <f>'NHAP LIEU'!B12</f>
        <v>KCN CA NA</v>
      </c>
      <c r="C18" s="37">
        <f>'NHAP LIEU'!C12</f>
        <v>100</v>
      </c>
      <c r="D18" s="38">
        <f>'NHAP LIEU'!D12</f>
        <v>0</v>
      </c>
      <c r="E18" s="31">
        <f>'NHAP LIEU'!E12</f>
        <v>0</v>
      </c>
      <c r="F18" s="32">
        <f>'NHAP LIEU'!F12</f>
        <v>0</v>
      </c>
      <c r="G18" s="60">
        <f>'NHAP LIEU'!G12</f>
        <v>0</v>
      </c>
      <c r="H18" s="39">
        <f>'NHAP LIEU'!H12</f>
        <v>0</v>
      </c>
      <c r="I18" s="39">
        <f>'NHAP LIEU'!I12</f>
        <v>0</v>
      </c>
      <c r="J18" s="12" t="str">
        <f>'NHAP LIEU'!J12</f>
        <v/>
      </c>
      <c r="K18" s="13" t="str">
        <f>'NHAP LIEU'!K12</f>
        <v>—</v>
      </c>
      <c r="L18" s="58" t="str">
        <f>'NHAP LIEU'!L12</f>
        <v xml:space="preserve">- Công tác pháp lý chuẩn bị đầu vào dự án.
</v>
      </c>
      <c r="M18" s="40" t="str">
        <f>'NHAP LIEU'!M12</f>
        <v>Chưa bàn giao MB</v>
      </c>
    </row>
    <row r="19" spans="1:13" ht="46.5" customHeight="1" x14ac:dyDescent="0.3">
      <c r="A19" s="28">
        <v>8</v>
      </c>
      <c r="B19" s="6" t="str">
        <f>'NHAP LIEU'!B15</f>
        <v>CAU MA DA</v>
      </c>
      <c r="C19" s="29">
        <f>'NHAP LIEU'!C15</f>
        <v>100</v>
      </c>
      <c r="D19" s="30">
        <f>'NHAP LIEU'!D15</f>
        <v>0</v>
      </c>
      <c r="E19" s="31">
        <f>'NHAP LIEU'!E15</f>
        <v>0</v>
      </c>
      <c r="F19" s="32">
        <f>'NHAP LIEU'!F15</f>
        <v>0</v>
      </c>
      <c r="G19" s="60">
        <f>'NHAP LIEU'!G15</f>
        <v>91.838999999999999</v>
      </c>
      <c r="H19" s="33">
        <f>'NHAP LIEU'!H15</f>
        <v>0</v>
      </c>
      <c r="I19" s="33">
        <f>'NHAP LIEU'!I15</f>
        <v>0</v>
      </c>
      <c r="J19" s="12">
        <f>'NHAP LIEU'!J15</f>
        <v>0</v>
      </c>
      <c r="K19" s="13" t="str">
        <f>'NHAP LIEU'!K15</f>
        <v>⚠ SL &lt; 10%</v>
      </c>
      <c r="L19" s="34" t="str">
        <f>'NHAP LIEU'!L15</f>
        <v>- Dự kiến đầu tháng 4 sẽ khoan cọc nhồi.
- Kế hoạch ký PLHĐ điều chỉnh 23/04/2026</v>
      </c>
      <c r="M19" s="42" t="str">
        <f>'NHAP LIEU'!M15</f>
        <v>Đang chờ CĐT  làm việc TK để ra bản vẽ cọc</v>
      </c>
    </row>
    <row r="20" spans="1:13" ht="15" thickBot="1" x14ac:dyDescent="0.35">
      <c r="A20" s="36">
        <v>9</v>
      </c>
      <c r="B20" s="16" t="str">
        <f>'NHAP LIEU'!B17</f>
        <v>CONG VAM LEO</v>
      </c>
      <c r="C20" s="37">
        <f>'NHAP LIEU'!C17</f>
        <v>100</v>
      </c>
      <c r="D20" s="38">
        <f>'NHAP LIEU'!D17</f>
        <v>0</v>
      </c>
      <c r="E20" s="31">
        <f>'NHAP LIEU'!E17</f>
        <v>0</v>
      </c>
      <c r="F20" s="32">
        <f>'NHAP LIEU'!F17</f>
        <v>0</v>
      </c>
      <c r="G20" s="60">
        <f>'NHAP LIEU'!G17</f>
        <v>0</v>
      </c>
      <c r="H20" s="39">
        <f>'NHAP LIEU'!H17</f>
        <v>0</v>
      </c>
      <c r="I20" s="39">
        <f>'NHAP LIEU'!I17</f>
        <v>0</v>
      </c>
      <c r="J20" s="12" t="str">
        <f>'NHAP LIEU'!J17</f>
        <v/>
      </c>
      <c r="K20" s="13" t="str">
        <f>'NHAP LIEU'!K17</f>
        <v>—</v>
      </c>
      <c r="L20" s="58" t="str">
        <f>'NHAP LIEU'!L17</f>
        <v>- Rà bóc khối lượng thép</v>
      </c>
      <c r="M20" s="40" t="str">
        <f>'NHAP LIEU'!M17</f>
        <v>Dự kiến 20/4 khởi công</v>
      </c>
    </row>
    <row r="21" spans="1:13" ht="18" customHeight="1" thickBot="1" x14ac:dyDescent="0.35">
      <c r="A21" s="108" t="s">
        <v>32</v>
      </c>
      <c r="B21" s="108"/>
      <c r="C21" s="108"/>
      <c r="D21" s="108"/>
      <c r="E21" s="108"/>
      <c r="F21" s="56">
        <f>AVERAGE(F11:F20)</f>
        <v>0.15493418432580858</v>
      </c>
      <c r="G21" s="57">
        <f>SUM(G11:G20)</f>
        <v>1103.9860000000001</v>
      </c>
      <c r="H21" s="57">
        <f>SUM(H11:H20)</f>
        <v>57.250999999999998</v>
      </c>
      <c r="I21" s="57">
        <f>SUM(I11:I20)</f>
        <v>23.302</v>
      </c>
      <c r="J21" s="54">
        <f>IF(OR(G21=0,G21=""),"",H21/G21)</f>
        <v>5.1858447480312243E-2</v>
      </c>
      <c r="K21" s="55"/>
      <c r="L21" s="55"/>
      <c r="M21" s="55"/>
    </row>
    <row r="22" spans="1:13" ht="14.25" customHeight="1" x14ac:dyDescent="0.3">
      <c r="G22" s="3"/>
      <c r="H22" s="3"/>
      <c r="I22" s="3"/>
      <c r="J22" s="3"/>
      <c r="K22" s="3"/>
      <c r="L22" s="3"/>
      <c r="M22" s="3"/>
    </row>
    <row r="23" spans="1:13" ht="18" customHeight="1" x14ac:dyDescent="0.3">
      <c r="A23" s="109" t="s">
        <v>33</v>
      </c>
      <c r="B23" s="109"/>
      <c r="C23" s="109"/>
      <c r="D23" s="109"/>
      <c r="E23" s="109"/>
      <c r="F23" s="109"/>
      <c r="G23" s="109"/>
      <c r="H23" s="109"/>
      <c r="I23" s="109"/>
      <c r="J23" s="89">
        <f>'NHAP LIEU'!J31</f>
        <v>2141491891</v>
      </c>
      <c r="K23" s="89"/>
      <c r="L23" s="89"/>
      <c r="M23" s="89"/>
    </row>
    <row r="24" spans="1:13" ht="15.75" customHeight="1" x14ac:dyDescent="0.3">
      <c r="A24" s="43">
        <v>1</v>
      </c>
      <c r="B24" s="6" t="str">
        <f>'NHAP LIEU'!B22</f>
        <v>Chung</v>
      </c>
      <c r="C24" s="110" t="str">
        <f>'NHAP LIEU'!C22</f>
        <v>Ms Như</v>
      </c>
      <c r="D24" s="110"/>
      <c r="E24" s="110" t="str">
        <f>'NHAP LIEU'!E22</f>
        <v>Thanh toán chi phí lưu trú công tác Mr Phát GĐ CN Miền Trung</v>
      </c>
      <c r="F24" s="110"/>
      <c r="G24" s="110"/>
      <c r="H24" s="110"/>
      <c r="I24" s="110"/>
      <c r="J24" s="111">
        <f>'NHAP LIEU'!J22</f>
        <v>1500000</v>
      </c>
      <c r="K24" s="111"/>
      <c r="L24" s="111"/>
      <c r="M24" s="111"/>
    </row>
    <row r="25" spans="1:13" ht="15.75" customHeight="1" x14ac:dyDescent="0.3">
      <c r="A25" s="43">
        <v>2</v>
      </c>
      <c r="B25" s="44" t="str">
        <f>'NHAP LIEU'!B23</f>
        <v>Chung</v>
      </c>
      <c r="C25" s="112" t="str">
        <f>'NHAP LIEU'!C23</f>
        <v>BHXH</v>
      </c>
      <c r="D25" s="112"/>
      <c r="E25" s="113" t="str">
        <f>'NHAP LIEU'!E23</f>
        <v>Thanh toán chi phí bảo hiểm tháng 2/2026</v>
      </c>
      <c r="F25" s="113"/>
      <c r="G25" s="113"/>
      <c r="H25" s="113"/>
      <c r="I25" s="113"/>
      <c r="J25" s="114">
        <f>'NHAP LIEU'!J23</f>
        <v>208310964</v>
      </c>
      <c r="K25" s="114"/>
      <c r="L25" s="114"/>
      <c r="M25" s="114"/>
    </row>
    <row r="26" spans="1:13" ht="15.75" customHeight="1" x14ac:dyDescent="0.3">
      <c r="A26" s="43">
        <v>3</v>
      </c>
      <c r="B26" s="6" t="str">
        <f>'NHAP LIEU'!B24</f>
        <v>XLNT Tây Ninh</v>
      </c>
      <c r="C26" s="115" t="str">
        <f>'NHAP LIEU'!C24</f>
        <v>Cty Đại Nam</v>
      </c>
      <c r="D26" s="115"/>
      <c r="E26" s="110" t="str">
        <f>'NHAP LIEU'!E24</f>
        <v>Tạm ứng HĐ giao khoán thi công</v>
      </c>
      <c r="F26" s="110"/>
      <c r="G26" s="110"/>
      <c r="H26" s="110"/>
      <c r="I26" s="110"/>
      <c r="J26" s="111">
        <f>'NHAP LIEU'!J24</f>
        <v>919606364</v>
      </c>
      <c r="K26" s="111"/>
      <c r="L26" s="111"/>
      <c r="M26" s="111"/>
    </row>
    <row r="27" spans="1:13" ht="15.75" customHeight="1" x14ac:dyDescent="0.3">
      <c r="A27" s="43">
        <v>4</v>
      </c>
      <c r="B27" s="44" t="str">
        <f>'NHAP LIEU'!B25</f>
        <v>XLNT Tây Ninh</v>
      </c>
      <c r="C27" s="116" t="str">
        <f>'NHAP LIEU'!C25</f>
        <v>Cty Enviro world</v>
      </c>
      <c r="D27" s="116"/>
      <c r="E27" s="113" t="str">
        <f>'NHAP LIEU'!E25</f>
        <v>Tạm ứng HĐ mua bán vật tư</v>
      </c>
      <c r="F27" s="113"/>
      <c r="G27" s="113"/>
      <c r="H27" s="113"/>
      <c r="I27" s="113"/>
      <c r="J27" s="114">
        <f>'NHAP LIEU'!J25</f>
        <v>971704830</v>
      </c>
      <c r="K27" s="114"/>
      <c r="L27" s="114"/>
      <c r="M27" s="114"/>
    </row>
    <row r="28" spans="1:13" ht="15.75" customHeight="1" x14ac:dyDescent="0.3">
      <c r="A28" s="43">
        <v>5</v>
      </c>
      <c r="B28" s="6" t="str">
        <f>'NHAP LIEU'!B26</f>
        <v>Chống hạn</v>
      </c>
      <c r="C28" s="117" t="str">
        <f>'NHAP LIEU'!C26</f>
        <v>Mr Duy Hưng</v>
      </c>
      <c r="D28" s="117"/>
      <c r="E28" s="110" t="str">
        <f>'NHAP LIEU'!E26</f>
        <v>Thanh toán chi phí công tác</v>
      </c>
      <c r="F28" s="110"/>
      <c r="G28" s="110"/>
      <c r="H28" s="110"/>
      <c r="I28" s="110"/>
      <c r="J28" s="111">
        <f>'NHAP LIEU'!J26</f>
        <v>6249733</v>
      </c>
      <c r="K28" s="111"/>
      <c r="L28" s="111"/>
      <c r="M28" s="111"/>
    </row>
    <row r="29" spans="1:13" ht="15.75" customHeight="1" x14ac:dyDescent="0.3">
      <c r="A29" s="43">
        <v>6</v>
      </c>
      <c r="B29" s="44" t="str">
        <f>'NHAP LIEU'!B27</f>
        <v>Chung</v>
      </c>
      <c r="C29" s="116" t="str">
        <f>'NHAP LIEU'!C27</f>
        <v>Ms Quỳnh</v>
      </c>
      <c r="D29" s="116"/>
      <c r="E29" s="113" t="str">
        <f>'NHAP LIEU'!E27</f>
        <v>Tạm ứng chi phí văn phòng 4/2026</v>
      </c>
      <c r="F29" s="113"/>
      <c r="G29" s="113"/>
      <c r="H29" s="113"/>
      <c r="I29" s="113"/>
      <c r="J29" s="114">
        <f>'NHAP LIEU'!J27</f>
        <v>5000000</v>
      </c>
      <c r="K29" s="114"/>
      <c r="L29" s="114"/>
      <c r="M29" s="114"/>
    </row>
    <row r="30" spans="1:13" ht="15.75" customHeight="1" collapsed="1" x14ac:dyDescent="0.3">
      <c r="A30" s="43">
        <v>7</v>
      </c>
      <c r="B30" s="6" t="str">
        <f>'NHAP LIEU'!B28</f>
        <v>Chung</v>
      </c>
      <c r="C30" s="117" t="str">
        <f>'NHAP LIEU'!C28</f>
        <v>Cty SAIGONCARS</v>
      </c>
      <c r="D30" s="117"/>
      <c r="E30" s="110" t="str">
        <f>'NHAP LIEU'!E28</f>
        <v>Thanh toán chi phí thuê xe và cọc xe</v>
      </c>
      <c r="F30" s="110"/>
      <c r="G30" s="110"/>
      <c r="H30" s="110"/>
      <c r="I30" s="110"/>
      <c r="J30" s="111">
        <f>'NHAP LIEU'!J28</f>
        <v>29120000</v>
      </c>
      <c r="K30" s="111"/>
      <c r="L30" s="111"/>
      <c r="M30" s="111"/>
    </row>
    <row r="31" spans="1:13" ht="15.75" hidden="1" customHeight="1" outlineLevel="1" x14ac:dyDescent="0.3">
      <c r="A31" s="43">
        <v>8</v>
      </c>
      <c r="B31" s="44">
        <f>'NHAP LIEU'!B29</f>
        <v>0</v>
      </c>
      <c r="C31" s="116">
        <f>'NHAP LIEU'!C29</f>
        <v>0</v>
      </c>
      <c r="D31" s="116"/>
      <c r="E31" s="113">
        <f>'NHAP LIEU'!E29</f>
        <v>0</v>
      </c>
      <c r="F31" s="113"/>
      <c r="G31" s="113"/>
      <c r="H31" s="113"/>
      <c r="I31" s="113"/>
      <c r="J31" s="114">
        <f>'NHAP LIEU'!J29</f>
        <v>0</v>
      </c>
      <c r="K31" s="114"/>
      <c r="L31" s="114"/>
      <c r="M31" s="114"/>
    </row>
    <row r="32" spans="1:13" ht="15.75" hidden="1" customHeight="1" outlineLevel="1" x14ac:dyDescent="0.3">
      <c r="A32" s="43">
        <v>9</v>
      </c>
      <c r="B32" s="6">
        <f>'NHAP LIEU'!B30</f>
        <v>0</v>
      </c>
      <c r="C32" s="117">
        <f>'NHAP LIEU'!C30</f>
        <v>0</v>
      </c>
      <c r="D32" s="117"/>
      <c r="E32" s="110">
        <f>'NHAP LIEU'!E30</f>
        <v>0</v>
      </c>
      <c r="F32" s="110"/>
      <c r="G32" s="110"/>
      <c r="H32" s="110"/>
      <c r="I32" s="110"/>
      <c r="J32" s="111">
        <f>'NHAP LIEU'!J30</f>
        <v>0</v>
      </c>
      <c r="K32" s="111"/>
      <c r="L32" s="111"/>
      <c r="M32" s="111"/>
    </row>
    <row r="33" spans="1:13" ht="14.25" customHeight="1" x14ac:dyDescent="0.3">
      <c r="G33" s="3"/>
      <c r="H33" s="3"/>
      <c r="I33" s="3"/>
      <c r="J33" s="3"/>
      <c r="K33" s="3"/>
      <c r="L33" s="3"/>
      <c r="M33" s="3"/>
    </row>
    <row r="34" spans="1:13" ht="18" customHeight="1" collapsed="1" x14ac:dyDescent="0.3">
      <c r="A34" s="118" t="s">
        <v>39</v>
      </c>
      <c r="B34" s="118"/>
      <c r="C34" s="118"/>
      <c r="D34" s="118"/>
      <c r="E34" s="118"/>
      <c r="F34" s="118"/>
      <c r="G34" s="118"/>
      <c r="H34" s="118"/>
      <c r="I34" s="118"/>
      <c r="J34" s="95">
        <f>'NHAP LIEU'!J40</f>
        <v>0</v>
      </c>
      <c r="K34" s="95"/>
      <c r="L34" s="95"/>
      <c r="M34" s="95"/>
    </row>
    <row r="35" spans="1:13" ht="27.6" hidden="1" customHeight="1" outlineLevel="1" x14ac:dyDescent="0.3">
      <c r="A35" s="43">
        <v>1</v>
      </c>
      <c r="B35" s="6">
        <f>'NHAP LIEU'!B35</f>
        <v>0</v>
      </c>
      <c r="C35" s="119">
        <f>'NHAP LIEU'!C35</f>
        <v>0</v>
      </c>
      <c r="D35" s="119"/>
      <c r="E35" s="110">
        <f>'NHAP LIEU'!E35</f>
        <v>0</v>
      </c>
      <c r="F35" s="110"/>
      <c r="G35" s="110"/>
      <c r="H35" s="110"/>
      <c r="I35" s="110"/>
      <c r="J35" s="120">
        <f>'NHAP LIEU'!J35</f>
        <v>0</v>
      </c>
      <c r="K35" s="120"/>
      <c r="L35" s="120"/>
      <c r="M35" s="120"/>
    </row>
    <row r="36" spans="1:13" ht="15.75" hidden="1" customHeight="1" outlineLevel="1" x14ac:dyDescent="0.3">
      <c r="A36" s="43">
        <v>2</v>
      </c>
      <c r="B36" s="45">
        <f>'NHAP LIEU'!B36</f>
        <v>0</v>
      </c>
      <c r="C36" s="121">
        <f>'NHAP LIEU'!C36</f>
        <v>0</v>
      </c>
      <c r="D36" s="121"/>
      <c r="E36" s="122">
        <f>'NHAP LIEU'!E36</f>
        <v>0</v>
      </c>
      <c r="F36" s="122"/>
      <c r="G36" s="122"/>
      <c r="H36" s="122"/>
      <c r="I36" s="122"/>
      <c r="J36" s="123">
        <f>'NHAP LIEU'!J36</f>
        <v>0</v>
      </c>
      <c r="K36" s="123"/>
      <c r="L36" s="123"/>
      <c r="M36" s="123"/>
    </row>
    <row r="37" spans="1:13" ht="15.75" hidden="1" customHeight="1" outlineLevel="1" x14ac:dyDescent="0.3">
      <c r="A37" s="43">
        <v>3</v>
      </c>
      <c r="B37" s="6">
        <f>'NHAP LIEU'!B37</f>
        <v>0</v>
      </c>
      <c r="C37" s="117">
        <f>'NHAP LIEU'!C37</f>
        <v>0</v>
      </c>
      <c r="D37" s="117"/>
      <c r="E37" s="110">
        <f>'NHAP LIEU'!E37</f>
        <v>0</v>
      </c>
      <c r="F37" s="110"/>
      <c r="G37" s="110"/>
      <c r="H37" s="110"/>
      <c r="I37" s="110"/>
      <c r="J37" s="120">
        <f>'NHAP LIEU'!J37</f>
        <v>0</v>
      </c>
      <c r="K37" s="120"/>
      <c r="L37" s="120"/>
      <c r="M37" s="120"/>
    </row>
    <row r="38" spans="1:13" ht="15.75" hidden="1" customHeight="1" outlineLevel="1" x14ac:dyDescent="0.3">
      <c r="A38" s="43">
        <v>4</v>
      </c>
      <c r="B38" s="45">
        <f>'NHAP LIEU'!B38</f>
        <v>0</v>
      </c>
      <c r="C38" s="121">
        <f>'NHAP LIEU'!C38</f>
        <v>0</v>
      </c>
      <c r="D38" s="121"/>
      <c r="E38" s="122">
        <f>'NHAP LIEU'!E38</f>
        <v>0</v>
      </c>
      <c r="F38" s="122"/>
      <c r="G38" s="122"/>
      <c r="H38" s="122"/>
      <c r="I38" s="122"/>
      <c r="J38" s="123">
        <f>'NHAP LIEU'!J38</f>
        <v>0</v>
      </c>
      <c r="K38" s="123"/>
      <c r="L38" s="123"/>
      <c r="M38" s="123"/>
    </row>
    <row r="39" spans="1:13" ht="15.75" hidden="1" customHeight="1" outlineLevel="1" x14ac:dyDescent="0.3">
      <c r="A39" s="43">
        <v>5</v>
      </c>
      <c r="B39" s="6">
        <f>'NHAP LIEU'!B39</f>
        <v>0</v>
      </c>
      <c r="C39" s="117">
        <f>'NHAP LIEU'!C39</f>
        <v>0</v>
      </c>
      <c r="D39" s="117"/>
      <c r="E39" s="110">
        <f>'NHAP LIEU'!E39</f>
        <v>0</v>
      </c>
      <c r="F39" s="110"/>
      <c r="G39" s="110"/>
      <c r="H39" s="110"/>
      <c r="I39" s="110"/>
      <c r="J39" s="120">
        <f>'NHAP LIEU'!J39</f>
        <v>0</v>
      </c>
      <c r="K39" s="120"/>
      <c r="L39" s="120"/>
      <c r="M39" s="120"/>
    </row>
    <row r="40" spans="1:13" ht="14.25" customHeight="1" collapsed="1" x14ac:dyDescent="0.3">
      <c r="G40" s="3"/>
      <c r="H40" s="3"/>
      <c r="I40" s="3"/>
      <c r="J40" s="3"/>
      <c r="K40" s="3"/>
      <c r="L40" s="3"/>
      <c r="M40" s="3"/>
    </row>
    <row r="41" spans="1:13" ht="18" customHeight="1" x14ac:dyDescent="0.3">
      <c r="A41" s="124" t="s">
        <v>43</v>
      </c>
      <c r="B41" s="124"/>
      <c r="C41" s="124"/>
      <c r="D41" s="124"/>
      <c r="E41" s="124"/>
      <c r="F41" s="124"/>
      <c r="G41" s="124"/>
      <c r="H41" s="124"/>
      <c r="I41" s="124"/>
      <c r="J41" s="124"/>
      <c r="K41" s="124"/>
      <c r="L41" s="124"/>
      <c r="M41" s="124"/>
    </row>
    <row r="42" spans="1:13" ht="18" customHeight="1" x14ac:dyDescent="0.3">
      <c r="A42" s="125" t="str">
        <f>'NHAP LIEU'!A43</f>
        <v>1. Tờ trình Điều chỉnh giá phần thi công, điều chỉnh giá phần bơm cát dự án ĐMT Trà Vinh 2</v>
      </c>
      <c r="B42" s="125"/>
      <c r="C42" s="125"/>
      <c r="D42" s="125"/>
      <c r="E42" s="125"/>
      <c r="F42" s="125"/>
      <c r="G42" s="125"/>
      <c r="H42" s="125"/>
      <c r="I42" s="125"/>
      <c r="J42" s="125"/>
      <c r="K42" s="125"/>
      <c r="L42" s="125"/>
      <c r="M42" s="125"/>
    </row>
    <row r="43" spans="1:13" ht="18" customHeight="1" x14ac:dyDescent="0.3">
      <c r="A43" s="125" t="str">
        <f>'NHAP LIEU'!A44</f>
        <v>2. Thanh toán chi phí Mr Duy Hưng đi công tác Hà Nội dự án Chống hạn</v>
      </c>
      <c r="B43" s="125"/>
      <c r="C43" s="125"/>
      <c r="D43" s="125"/>
      <c r="E43" s="125"/>
      <c r="F43" s="125"/>
      <c r="G43" s="125"/>
      <c r="H43" s="125"/>
      <c r="I43" s="125"/>
      <c r="J43" s="125"/>
      <c r="K43" s="125"/>
      <c r="L43" s="125"/>
      <c r="M43" s="125"/>
    </row>
    <row r="44" spans="1:13" ht="18" customHeight="1" x14ac:dyDescent="0.3">
      <c r="A44" s="125" t="str">
        <f>'NHAP LIEU'!A45</f>
        <v xml:space="preserve">3. Ký hoàn hồ sơ thanh toán chi phí tiếp khách dự án Rạch Xuyên Tâm </v>
      </c>
      <c r="B44" s="125"/>
      <c r="C44" s="125"/>
      <c r="D44" s="125"/>
      <c r="E44" s="125"/>
      <c r="F44" s="125"/>
      <c r="G44" s="125"/>
      <c r="H44" s="125"/>
      <c r="I44" s="125"/>
      <c r="J44" s="125"/>
      <c r="K44" s="125"/>
      <c r="L44" s="125"/>
      <c r="M44" s="125"/>
    </row>
    <row r="45" spans="1:13" ht="18" customHeight="1" x14ac:dyDescent="0.3">
      <c r="A45" s="125" t="str">
        <f>'NHAP LIEU'!A46</f>
        <v>4. Yêu cầu cấp Laptop Ms Phú phòng KHDA</v>
      </c>
      <c r="B45" s="125"/>
      <c r="C45" s="125"/>
      <c r="D45" s="125"/>
      <c r="E45" s="125"/>
      <c r="F45" s="125"/>
      <c r="G45" s="125"/>
      <c r="H45" s="125"/>
      <c r="I45" s="125"/>
      <c r="J45" s="125"/>
      <c r="K45" s="125"/>
      <c r="L45" s="125"/>
      <c r="M45" s="125"/>
    </row>
    <row r="46" spans="1:13" ht="18" customHeight="1" collapsed="1" x14ac:dyDescent="0.3">
      <c r="A46" s="125" t="str">
        <f>'NHAP LIEU'!A47</f>
        <v>5. Giấy UQ Mr Thái, Mr Dũng đi họp dự án Tỉnh Lộ 8</v>
      </c>
      <c r="B46" s="125"/>
      <c r="C46" s="125"/>
      <c r="D46" s="125"/>
      <c r="E46" s="125"/>
      <c r="F46" s="125"/>
      <c r="G46" s="125"/>
      <c r="H46" s="125"/>
      <c r="I46" s="125"/>
      <c r="J46" s="125"/>
      <c r="K46" s="125"/>
      <c r="L46" s="125"/>
      <c r="M46" s="125"/>
    </row>
    <row r="47" spans="1:13" ht="18" hidden="1" customHeight="1" outlineLevel="1" x14ac:dyDescent="0.3">
      <c r="A47" s="125">
        <f>'NHAP LIEU'!A48</f>
        <v>0</v>
      </c>
      <c r="B47" s="125"/>
      <c r="C47" s="125"/>
      <c r="D47" s="125"/>
      <c r="E47" s="125"/>
      <c r="F47" s="125"/>
      <c r="G47" s="125"/>
      <c r="H47" s="125"/>
      <c r="I47" s="125"/>
      <c r="J47" s="125"/>
      <c r="K47" s="125"/>
      <c r="L47" s="125"/>
      <c r="M47" s="125"/>
    </row>
    <row r="48" spans="1:13" ht="18" hidden="1" customHeight="1" outlineLevel="1" x14ac:dyDescent="0.3">
      <c r="A48" s="125">
        <f>'NHAP LIEU'!A49</f>
        <v>0</v>
      </c>
      <c r="B48" s="125"/>
      <c r="C48" s="125"/>
      <c r="D48" s="125"/>
      <c r="E48" s="125"/>
      <c r="F48" s="125"/>
      <c r="G48" s="125"/>
      <c r="H48" s="125"/>
      <c r="I48" s="125"/>
      <c r="J48" s="125"/>
      <c r="K48" s="125"/>
      <c r="L48" s="125"/>
      <c r="M48" s="125"/>
    </row>
    <row r="49" spans="1:13" ht="43.5" hidden="1" customHeight="1" x14ac:dyDescent="0.3">
      <c r="A49" s="98" t="s">
        <v>44</v>
      </c>
      <c r="B49" s="98"/>
      <c r="C49" s="98"/>
      <c r="D49" s="98"/>
      <c r="E49" s="99" t="s">
        <v>45</v>
      </c>
      <c r="F49" s="99"/>
      <c r="G49" s="99"/>
      <c r="H49" s="99"/>
      <c r="I49" s="99"/>
      <c r="J49" s="100" t="s">
        <v>46</v>
      </c>
      <c r="K49" s="100"/>
      <c r="L49" s="100"/>
      <c r="M49" s="100"/>
    </row>
  </sheetData>
  <mergeCells count="68">
    <mergeCell ref="A49:D49"/>
    <mergeCell ref="E49:I49"/>
    <mergeCell ref="J49:M49"/>
    <mergeCell ref="A41:M41"/>
    <mergeCell ref="A42:M42"/>
    <mergeCell ref="A43:M43"/>
    <mergeCell ref="A44:M44"/>
    <mergeCell ref="A47:M47"/>
    <mergeCell ref="A45:M45"/>
    <mergeCell ref="A46:M46"/>
    <mergeCell ref="A48:M48"/>
    <mergeCell ref="C38:D38"/>
    <mergeCell ref="E38:I38"/>
    <mergeCell ref="J38:M38"/>
    <mergeCell ref="C39:D39"/>
    <mergeCell ref="E39:I39"/>
    <mergeCell ref="J39:M39"/>
    <mergeCell ref="C36:D36"/>
    <mergeCell ref="E36:I36"/>
    <mergeCell ref="J36:M36"/>
    <mergeCell ref="C37:D37"/>
    <mergeCell ref="E37:I37"/>
    <mergeCell ref="J37:M37"/>
    <mergeCell ref="A34:I34"/>
    <mergeCell ref="J34:M34"/>
    <mergeCell ref="C35:D35"/>
    <mergeCell ref="E35:I35"/>
    <mergeCell ref="J35:M35"/>
    <mergeCell ref="C31:D31"/>
    <mergeCell ref="E31:I31"/>
    <mergeCell ref="J31:M31"/>
    <mergeCell ref="C32:D32"/>
    <mergeCell ref="E32:I32"/>
    <mergeCell ref="J32:M32"/>
    <mergeCell ref="C29:D29"/>
    <mergeCell ref="E29:I29"/>
    <mergeCell ref="J29:M29"/>
    <mergeCell ref="C30:D30"/>
    <mergeCell ref="E30:I30"/>
    <mergeCell ref="J30:M30"/>
    <mergeCell ref="C27:D27"/>
    <mergeCell ref="E27:I27"/>
    <mergeCell ref="J27:M27"/>
    <mergeCell ref="C28:D28"/>
    <mergeCell ref="E28:I28"/>
    <mergeCell ref="J28:M28"/>
    <mergeCell ref="C25:D25"/>
    <mergeCell ref="E25:I25"/>
    <mergeCell ref="J25:M25"/>
    <mergeCell ref="C26:D26"/>
    <mergeCell ref="E26:I26"/>
    <mergeCell ref="J26:M26"/>
    <mergeCell ref="A23:I23"/>
    <mergeCell ref="J23:M23"/>
    <mergeCell ref="C24:D24"/>
    <mergeCell ref="E24:I24"/>
    <mergeCell ref="J24:M24"/>
    <mergeCell ref="A8:M8"/>
    <mergeCell ref="A21:E21"/>
    <mergeCell ref="C6:E6"/>
    <mergeCell ref="F6:G6"/>
    <mergeCell ref="H6:I6"/>
    <mergeCell ref="A2:I2"/>
    <mergeCell ref="J2:M2"/>
    <mergeCell ref="A4:I4"/>
    <mergeCell ref="C5:E5"/>
    <mergeCell ref="F5:G5"/>
    <mergeCell ref="H5:I5"/>
  </mergeCells>
  <conditionalFormatting sqref="J11:J15 J18 J20">
    <cfRule type="cellIs" dxfId="11" priority="2" operator="equal">
      <formula>"Cham tien do"</formula>
    </cfRule>
    <cfRule type="cellIs" dxfId="10" priority="3" operator="equal">
      <formula>"Dung tien do"</formula>
    </cfRule>
    <cfRule type="cellIs" dxfId="9" priority="4" operator="equal">
      <formula>"Vuong mat bang"</formula>
    </cfRule>
    <cfRule type="cellIs" dxfId="8" priority="5" operator="equal">
      <formula>"Chua ban giao MB"</formula>
    </cfRule>
    <cfRule type="cellIs" dxfId="7" priority="6" operator="equal">
      <formula>"Chua co phap ly"</formula>
    </cfRule>
    <cfRule type="cellIs" dxfId="6" priority="7" operator="equal">
      <formula>"Chua trien khai"</formula>
    </cfRule>
  </conditionalFormatting>
  <conditionalFormatting sqref="K11:K16">
    <cfRule type="expression" dxfId="5" priority="8">
      <formula>AND(G11&gt;0,J11&lt;F11)</formula>
    </cfRule>
    <cfRule type="expression" dxfId="4" priority="9">
      <formula>AND(G11&gt;0,J11&gt;=F11,J11&lt;0.1)</formula>
    </cfRule>
    <cfRule type="expression" dxfId="3" priority="10">
      <formula>AND(G11&gt;0,J11&gt;=F11,J11&gt;=0.1)</formula>
    </cfRule>
  </conditionalFormatting>
  <conditionalFormatting sqref="K18:K20">
    <cfRule type="expression" dxfId="2" priority="11">
      <formula>AND(G18&gt;0,J18&lt;F18)</formula>
    </cfRule>
    <cfRule type="expression" dxfId="1" priority="12">
      <formula>AND(G18&gt;0,J18&gt;=F18,J18&lt;0.1)</formula>
    </cfRule>
    <cfRule type="expression" dxfId="0" priority="13">
      <formula>AND(G18&gt;0,J18&gt;=F18,J18&gt;=0.1)</formula>
    </cfRule>
  </conditionalFormatting>
  <pageMargins left="0.51181102362204722" right="0.51181102362204722" top="0.51181102362204722" bottom="0.51181102362204722" header="0.51181102362204722" footer="0.51181102362204722"/>
  <pageSetup paperSize="9" scale="75" fitToHeight="0" orientation="landscape" horizontalDpi="300" verticalDpi="300" r:id="rId1"/>
  <headerFooter>
    <oddFooter>&amp;C&amp;8 TNE Daily Report  |  Trang &amp;P/&amp;N  |  In ngay: 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66534"/>
  </sheetPr>
  <dimension ref="A1:C26"/>
  <sheetViews>
    <sheetView showGridLines="0" topLeftCell="A4" zoomScaleNormal="100" workbookViewId="0"/>
  </sheetViews>
  <sheetFormatPr defaultColWidth="8.6640625" defaultRowHeight="14.4" x14ac:dyDescent="0.3"/>
  <cols>
    <col min="1" max="1" width="6" customWidth="1"/>
    <col min="2" max="2" width="30" customWidth="1"/>
    <col min="3" max="3" width="62" customWidth="1"/>
  </cols>
  <sheetData>
    <row r="1" spans="1:3" ht="6" customHeight="1" x14ac:dyDescent="0.3"/>
    <row r="2" spans="1:3" ht="31.5" customHeight="1" x14ac:dyDescent="0.3">
      <c r="A2" s="126" t="s">
        <v>63</v>
      </c>
      <c r="B2" s="126"/>
      <c r="C2" s="126"/>
    </row>
    <row r="4" spans="1:3" ht="19.5" customHeight="1" x14ac:dyDescent="0.3">
      <c r="A4" s="127" t="s">
        <v>64</v>
      </c>
      <c r="B4" s="127"/>
      <c r="C4" s="127"/>
    </row>
    <row r="5" spans="1:3" ht="15.75" customHeight="1" x14ac:dyDescent="0.3">
      <c r="A5" s="46"/>
      <c r="B5" s="47" t="s">
        <v>65</v>
      </c>
      <c r="C5" s="48" t="s">
        <v>66</v>
      </c>
    </row>
    <row r="6" spans="1:3" ht="15.75" customHeight="1" x14ac:dyDescent="0.3">
      <c r="A6" s="46"/>
      <c r="B6" s="47" t="s">
        <v>67</v>
      </c>
      <c r="C6" s="48" t="s">
        <v>68</v>
      </c>
    </row>
    <row r="7" spans="1:3" ht="15.75" customHeight="1" x14ac:dyDescent="0.3">
      <c r="A7" s="46"/>
      <c r="B7" s="47" t="s">
        <v>69</v>
      </c>
      <c r="C7" s="48" t="s">
        <v>70</v>
      </c>
    </row>
    <row r="8" spans="1:3" ht="19.5" customHeight="1" x14ac:dyDescent="0.3">
      <c r="A8" s="127" t="s">
        <v>71</v>
      </c>
      <c r="B8" s="127"/>
      <c r="C8" s="127"/>
    </row>
    <row r="9" spans="1:3" ht="15.75" customHeight="1" x14ac:dyDescent="0.3">
      <c r="A9" s="46"/>
      <c r="B9" s="49" t="s">
        <v>72</v>
      </c>
      <c r="C9" s="50" t="s">
        <v>73</v>
      </c>
    </row>
    <row r="10" spans="1:3" ht="15.75" customHeight="1" x14ac:dyDescent="0.3">
      <c r="A10" s="46"/>
      <c r="B10" s="49" t="s">
        <v>74</v>
      </c>
      <c r="C10" s="50" t="s">
        <v>75</v>
      </c>
    </row>
    <row r="11" spans="1:3" ht="15.75" customHeight="1" x14ac:dyDescent="0.3">
      <c r="A11" s="46"/>
      <c r="B11" s="49" t="s">
        <v>76</v>
      </c>
      <c r="C11" s="50" t="s">
        <v>77</v>
      </c>
    </row>
    <row r="12" spans="1:3" ht="15.75" customHeight="1" x14ac:dyDescent="0.3">
      <c r="A12" s="46"/>
      <c r="B12" s="49" t="s">
        <v>78</v>
      </c>
      <c r="C12" s="50" t="s">
        <v>79</v>
      </c>
    </row>
    <row r="13" spans="1:3" ht="15.75" customHeight="1" x14ac:dyDescent="0.3">
      <c r="A13" s="46"/>
      <c r="B13" s="49" t="s">
        <v>80</v>
      </c>
      <c r="C13" s="50" t="s">
        <v>81</v>
      </c>
    </row>
    <row r="14" spans="1:3" ht="15.75" customHeight="1" x14ac:dyDescent="0.3">
      <c r="A14" s="46"/>
      <c r="B14" s="49" t="s">
        <v>82</v>
      </c>
      <c r="C14" s="50" t="s">
        <v>83</v>
      </c>
    </row>
    <row r="15" spans="1:3" ht="15.75" customHeight="1" x14ac:dyDescent="0.3">
      <c r="A15" s="46"/>
      <c r="B15" s="49" t="s">
        <v>84</v>
      </c>
      <c r="C15" s="50" t="s">
        <v>85</v>
      </c>
    </row>
    <row r="16" spans="1:3" ht="15.75" customHeight="1" x14ac:dyDescent="0.3">
      <c r="A16" s="46"/>
      <c r="B16" s="49" t="s">
        <v>86</v>
      </c>
      <c r="C16" s="50" t="s">
        <v>87</v>
      </c>
    </row>
    <row r="17" spans="1:3" ht="15.75" customHeight="1" x14ac:dyDescent="0.3">
      <c r="A17" s="46"/>
      <c r="B17" s="49" t="s">
        <v>88</v>
      </c>
      <c r="C17" s="50" t="s">
        <v>89</v>
      </c>
    </row>
    <row r="18" spans="1:3" ht="15.75" customHeight="1" x14ac:dyDescent="0.3">
      <c r="A18" s="46"/>
      <c r="B18" s="49" t="s">
        <v>90</v>
      </c>
      <c r="C18" s="50" t="s">
        <v>91</v>
      </c>
    </row>
    <row r="19" spans="1:3" ht="19.5" customHeight="1" x14ac:dyDescent="0.3">
      <c r="A19" s="127" t="s">
        <v>92</v>
      </c>
      <c r="B19" s="127"/>
      <c r="C19" s="127"/>
    </row>
    <row r="20" spans="1:3" ht="15.75" customHeight="1" x14ac:dyDescent="0.3">
      <c r="A20" s="46"/>
      <c r="B20" s="47" t="s">
        <v>93</v>
      </c>
      <c r="C20" s="48" t="s">
        <v>94</v>
      </c>
    </row>
    <row r="21" spans="1:3" ht="15.75" customHeight="1" x14ac:dyDescent="0.3">
      <c r="A21" s="46"/>
      <c r="B21" s="47" t="s">
        <v>95</v>
      </c>
      <c r="C21" s="48" t="s">
        <v>96</v>
      </c>
    </row>
    <row r="22" spans="1:3" ht="15.75" customHeight="1" x14ac:dyDescent="0.3">
      <c r="A22" s="46"/>
      <c r="B22" s="47" t="s">
        <v>97</v>
      </c>
      <c r="C22" s="48" t="s">
        <v>98</v>
      </c>
    </row>
    <row r="23" spans="1:3" ht="19.5" customHeight="1" x14ac:dyDescent="0.3">
      <c r="A23" s="127" t="s">
        <v>99</v>
      </c>
      <c r="B23" s="127"/>
      <c r="C23" s="127"/>
    </row>
    <row r="24" spans="1:3" ht="15.75" customHeight="1" x14ac:dyDescent="0.3">
      <c r="A24" s="46"/>
      <c r="B24" s="47" t="s">
        <v>100</v>
      </c>
      <c r="C24" s="48" t="s">
        <v>101</v>
      </c>
    </row>
    <row r="25" spans="1:3" ht="15.75" customHeight="1" x14ac:dyDescent="0.3">
      <c r="A25" s="46"/>
      <c r="B25" s="47" t="s">
        <v>102</v>
      </c>
      <c r="C25" s="48" t="s">
        <v>103</v>
      </c>
    </row>
    <row r="26" spans="1:3" ht="15.75" customHeight="1" x14ac:dyDescent="0.3">
      <c r="A26" s="46"/>
      <c r="B26" s="47" t="s">
        <v>104</v>
      </c>
      <c r="C26" s="48" t="s">
        <v>105</v>
      </c>
    </row>
  </sheetData>
  <mergeCells count="5">
    <mergeCell ref="A2:C2"/>
    <mergeCell ref="A4:C4"/>
    <mergeCell ref="A8:C8"/>
    <mergeCell ref="A19:C19"/>
    <mergeCell ref="A23:C2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NHAP LIEU</vt:lpstr>
      <vt:lpstr>BAO CAO IN</vt:lpstr>
      <vt:lpstr>HUONG DAN</vt:lpstr>
      <vt:lpstr>'BAO CAO IN'!Print_Area</vt:lpstr>
      <vt:lpstr>'NHAP LIEU'!Print_Area</vt:lpstr>
      <vt:lpstr>'BAO CAO IN'!Print_Titles</vt:lpstr>
      <vt:lpstr>'NHAP LIEU'!Print_Titles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Lê Quỳnh Ngân</cp:lastModifiedBy>
  <cp:revision>0</cp:revision>
  <cp:lastPrinted>2026-03-27T13:06:38Z</cp:lastPrinted>
  <dcterms:created xsi:type="dcterms:W3CDTF">2026-03-03T13:58:10Z</dcterms:created>
  <dcterms:modified xsi:type="dcterms:W3CDTF">2026-03-31T13:34:45Z</dcterms:modified>
  <dc:language>en-US</dc:language>
</cp:coreProperties>
</file>